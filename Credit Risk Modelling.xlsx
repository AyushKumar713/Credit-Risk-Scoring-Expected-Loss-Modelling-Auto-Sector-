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F32D6323AF09F2/Documents/"/>
    </mc:Choice>
  </mc:AlternateContent>
  <xr:revisionPtr revIDLastSave="2383" documentId="8_{7E746760-77F0-42D9-A299-DF08230012BE}" xr6:coauthVersionLast="47" xr6:coauthVersionMax="47" xr10:uidLastSave="{512D9F22-4041-449C-8773-44A5DD0F2F5A}"/>
  <bookViews>
    <workbookView xWindow="-108" yWindow="-108" windowWidth="23256" windowHeight="12456" activeTab="3" xr2:uid="{ADD9A28C-364C-4329-8C13-DC26FA05579B}"/>
  </bookViews>
  <sheets>
    <sheet name="Company Information" sheetId="1" r:id="rId1"/>
    <sheet name="Raw Financial Data" sheetId="2" r:id="rId2"/>
    <sheet name="Ratios" sheetId="3" r:id="rId3"/>
    <sheet name="Credit Scores" sheetId="5" r:id="rId4"/>
    <sheet name="Credit Ratings" sheetId="6" r:id="rId5"/>
    <sheet name="Expected Loss" sheetId="7" r:id="rId6"/>
    <sheet name="Scenario Ananlysis" sheetId="8" r:id="rId7"/>
    <sheet name="Rough Data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8" l="1"/>
  <c r="G6" i="6"/>
  <c r="G7" i="6"/>
  <c r="G8" i="6"/>
  <c r="G9" i="6"/>
  <c r="G10" i="6"/>
  <c r="G11" i="6"/>
  <c r="G12" i="6"/>
  <c r="G13" i="6"/>
  <c r="G14" i="6"/>
  <c r="G5" i="6"/>
  <c r="G28" i="8"/>
  <c r="G29" i="8"/>
  <c r="G30" i="8"/>
  <c r="G31" i="8"/>
  <c r="G32" i="8"/>
  <c r="G33" i="8"/>
  <c r="G34" i="8"/>
  <c r="G35" i="8"/>
  <c r="G36" i="8"/>
  <c r="G27" i="8"/>
  <c r="F28" i="8"/>
  <c r="F29" i="8"/>
  <c r="F30" i="8"/>
  <c r="F31" i="8"/>
  <c r="F32" i="8"/>
  <c r="F33" i="8"/>
  <c r="F34" i="8"/>
  <c r="F35" i="8"/>
  <c r="F36" i="8"/>
  <c r="F27" i="8"/>
  <c r="E28" i="8"/>
  <c r="E29" i="8"/>
  <c r="E30" i="8"/>
  <c r="E31" i="8"/>
  <c r="E32" i="8"/>
  <c r="E33" i="8"/>
  <c r="E34" i="8"/>
  <c r="E35" i="8"/>
  <c r="E36" i="8"/>
  <c r="E27" i="8"/>
  <c r="D28" i="8"/>
  <c r="H28" i="8" s="1"/>
  <c r="D29" i="8"/>
  <c r="H29" i="8" s="1"/>
  <c r="D30" i="8"/>
  <c r="H30" i="8" s="1"/>
  <c r="D31" i="8"/>
  <c r="H31" i="8" s="1"/>
  <c r="D32" i="8"/>
  <c r="H32" i="8" s="1"/>
  <c r="D33" i="8"/>
  <c r="H33" i="8" s="1"/>
  <c r="D34" i="8"/>
  <c r="H34" i="8" s="1"/>
  <c r="D35" i="8"/>
  <c r="H35" i="8" s="1"/>
  <c r="D36" i="8"/>
  <c r="D27" i="8"/>
  <c r="H27" i="8" s="1"/>
  <c r="G14" i="8"/>
  <c r="G15" i="8"/>
  <c r="G16" i="8"/>
  <c r="G17" i="8"/>
  <c r="G18" i="8"/>
  <c r="G19" i="8"/>
  <c r="G20" i="8"/>
  <c r="G21" i="8"/>
  <c r="G22" i="8"/>
  <c r="G13" i="8"/>
  <c r="F14" i="8"/>
  <c r="F15" i="8"/>
  <c r="F16" i="8"/>
  <c r="F17" i="8"/>
  <c r="F18" i="8"/>
  <c r="F19" i="8"/>
  <c r="F20" i="8"/>
  <c r="F21" i="8"/>
  <c r="F22" i="8"/>
  <c r="F13" i="8"/>
  <c r="E14" i="8"/>
  <c r="E15" i="8"/>
  <c r="E16" i="8"/>
  <c r="H16" i="8" s="1"/>
  <c r="E17" i="8"/>
  <c r="H17" i="8" s="1"/>
  <c r="E18" i="8"/>
  <c r="E19" i="8"/>
  <c r="E20" i="8"/>
  <c r="H20" i="8" s="1"/>
  <c r="E21" i="8"/>
  <c r="H21" i="8" s="1"/>
  <c r="E22" i="8"/>
  <c r="E13" i="8"/>
  <c r="D14" i="8"/>
  <c r="H14" i="8" s="1"/>
  <c r="D15" i="8"/>
  <c r="H15" i="8" s="1"/>
  <c r="D16" i="8"/>
  <c r="D17" i="8"/>
  <c r="D18" i="8"/>
  <c r="H18" i="8" s="1"/>
  <c r="D19" i="8"/>
  <c r="H19" i="8" s="1"/>
  <c r="D20" i="8"/>
  <c r="D21" i="8"/>
  <c r="D22" i="8"/>
  <c r="H22" i="8" s="1"/>
  <c r="D13" i="8"/>
  <c r="H13" i="8" s="1"/>
  <c r="H7" i="7"/>
  <c r="H8" i="7"/>
  <c r="H9" i="7"/>
  <c r="H10" i="7"/>
  <c r="H11" i="7"/>
  <c r="H12" i="7"/>
  <c r="H13" i="7"/>
  <c r="H14" i="7"/>
  <c r="H15" i="7"/>
  <c r="H6" i="7"/>
  <c r="H31" i="5"/>
  <c r="H32" i="5"/>
  <c r="H33" i="5"/>
  <c r="H34" i="5"/>
  <c r="H35" i="5"/>
  <c r="H36" i="5"/>
  <c r="H37" i="5"/>
  <c r="H38" i="5"/>
  <c r="H39" i="5"/>
  <c r="H30" i="5"/>
  <c r="C37" i="3"/>
  <c r="D61" i="3"/>
  <c r="E61" i="3"/>
  <c r="F61" i="3"/>
  <c r="G61" i="3"/>
  <c r="H61" i="3"/>
  <c r="I61" i="3"/>
  <c r="J61" i="3"/>
  <c r="K61" i="3"/>
  <c r="L61" i="3"/>
  <c r="M61" i="3"/>
  <c r="C61" i="3"/>
  <c r="C55" i="3"/>
  <c r="D55" i="3"/>
  <c r="E55" i="3"/>
  <c r="F55" i="3"/>
  <c r="G55" i="3"/>
  <c r="H55" i="3"/>
  <c r="I55" i="3"/>
  <c r="J55" i="3"/>
  <c r="K55" i="3"/>
  <c r="L55" i="3"/>
  <c r="M55" i="3"/>
  <c r="C49" i="3"/>
  <c r="D49" i="3"/>
  <c r="E49" i="3"/>
  <c r="F49" i="3"/>
  <c r="G49" i="3"/>
  <c r="H49" i="3"/>
  <c r="I49" i="3"/>
  <c r="J49" i="3"/>
  <c r="K49" i="3"/>
  <c r="L49" i="3"/>
  <c r="M49" i="3"/>
  <c r="C43" i="3"/>
  <c r="D43" i="3"/>
  <c r="E43" i="3"/>
  <c r="F43" i="3"/>
  <c r="G43" i="3"/>
  <c r="H43" i="3"/>
  <c r="I43" i="3"/>
  <c r="J43" i="3"/>
  <c r="K43" i="3"/>
  <c r="L43" i="3"/>
  <c r="M43" i="3"/>
  <c r="D37" i="3"/>
  <c r="E37" i="3"/>
  <c r="F37" i="3"/>
  <c r="G37" i="3"/>
  <c r="H37" i="3"/>
  <c r="I37" i="3"/>
  <c r="J37" i="3"/>
  <c r="K37" i="3"/>
  <c r="L37" i="3"/>
  <c r="M37" i="3"/>
  <c r="C31" i="3"/>
  <c r="D31" i="3"/>
  <c r="E31" i="3"/>
  <c r="F31" i="3"/>
  <c r="G31" i="3"/>
  <c r="H31" i="3"/>
  <c r="I31" i="3"/>
  <c r="J31" i="3"/>
  <c r="K31" i="3"/>
  <c r="L31" i="3"/>
  <c r="M31" i="3"/>
  <c r="C25" i="3"/>
  <c r="D25" i="3"/>
  <c r="E25" i="3"/>
  <c r="F25" i="3"/>
  <c r="G25" i="3"/>
  <c r="H25" i="3"/>
  <c r="I25" i="3"/>
  <c r="J25" i="3"/>
  <c r="K25" i="3"/>
  <c r="L25" i="3"/>
  <c r="M25" i="3"/>
  <c r="C19" i="3"/>
  <c r="D19" i="3"/>
  <c r="E19" i="3"/>
  <c r="F19" i="3"/>
  <c r="G19" i="3"/>
  <c r="H19" i="3"/>
  <c r="I19" i="3"/>
  <c r="J19" i="3"/>
  <c r="K19" i="3"/>
  <c r="L19" i="3"/>
  <c r="M19" i="3"/>
  <c r="C13" i="3"/>
  <c r="D13" i="3"/>
  <c r="E13" i="3"/>
  <c r="F13" i="3"/>
  <c r="G13" i="3"/>
  <c r="H13" i="3"/>
  <c r="I13" i="3"/>
  <c r="J13" i="3"/>
  <c r="K13" i="3"/>
  <c r="L13" i="3"/>
  <c r="M13" i="3"/>
  <c r="C7" i="3"/>
  <c r="E7" i="3"/>
  <c r="F7" i="3"/>
  <c r="G7" i="3"/>
  <c r="H7" i="3"/>
  <c r="I7" i="3"/>
  <c r="J7" i="3"/>
  <c r="K7" i="3"/>
  <c r="L7" i="3"/>
  <c r="M7" i="3"/>
  <c r="D7" i="3"/>
  <c r="P50" i="4"/>
  <c r="P45" i="4"/>
  <c r="P40" i="4"/>
  <c r="P35" i="4"/>
  <c r="P30" i="4"/>
  <c r="P25" i="4"/>
  <c r="P20" i="4"/>
  <c r="P15" i="4"/>
  <c r="P10" i="4"/>
  <c r="P5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1" i="4"/>
</calcChain>
</file>

<file path=xl/sharedStrings.xml><?xml version="1.0" encoding="utf-8"?>
<sst xmlns="http://schemas.openxmlformats.org/spreadsheetml/2006/main" count="400" uniqueCount="94">
  <si>
    <t>Maruti Suzuki</t>
  </si>
  <si>
    <t>EBIT</t>
  </si>
  <si>
    <t>EBITDA</t>
  </si>
  <si>
    <t>Company Name</t>
  </si>
  <si>
    <t>Sector</t>
  </si>
  <si>
    <t>Source Link (Screener)</t>
  </si>
  <si>
    <t>Auto</t>
  </si>
  <si>
    <t>Tata Motors</t>
  </si>
  <si>
    <t>Mahindra &amp; Mahindra</t>
  </si>
  <si>
    <t>Ashok Leyland</t>
  </si>
  <si>
    <t>Eicher Motors</t>
  </si>
  <si>
    <t>Bajaj Auto</t>
  </si>
  <si>
    <t>Hero Motocorp</t>
  </si>
  <si>
    <t>TVS Motors</t>
  </si>
  <si>
    <t>MRF</t>
  </si>
  <si>
    <t>Tyres</t>
  </si>
  <si>
    <t>Apollo Tyres</t>
  </si>
  <si>
    <t>S.NO</t>
  </si>
  <si>
    <t>https://www.screener.in/dash/</t>
  </si>
  <si>
    <t>Time Period</t>
  </si>
  <si>
    <t>Company</t>
  </si>
  <si>
    <t>Year</t>
  </si>
  <si>
    <t>Revenue</t>
  </si>
  <si>
    <t>PAT</t>
  </si>
  <si>
    <t>Total Asset</t>
  </si>
  <si>
    <t>Total Liabilities</t>
  </si>
  <si>
    <t>Total Debt</t>
  </si>
  <si>
    <t>Current Asset</t>
  </si>
  <si>
    <t>Current Liabilities</t>
  </si>
  <si>
    <t>Invetory</t>
  </si>
  <si>
    <t>Shareholder Equity</t>
  </si>
  <si>
    <t>Intrest expeses</t>
  </si>
  <si>
    <t>COGS</t>
  </si>
  <si>
    <t>Operating Cash Flow</t>
  </si>
  <si>
    <t>Capital Expenditure</t>
  </si>
  <si>
    <t>Free Cash Flow</t>
  </si>
  <si>
    <t>FY19,FY22-FY25</t>
  </si>
  <si>
    <t>Net Profit Margin</t>
  </si>
  <si>
    <t>ROE</t>
  </si>
  <si>
    <t xml:space="preserve">ROA </t>
  </si>
  <si>
    <t>Debt to Equity</t>
  </si>
  <si>
    <t>Interest Coverage</t>
  </si>
  <si>
    <t>Current Ratio</t>
  </si>
  <si>
    <t>Quick Ratio</t>
  </si>
  <si>
    <t>Asset Turnover</t>
  </si>
  <si>
    <t>Inventory Turnover</t>
  </si>
  <si>
    <t>Debt to Asset</t>
  </si>
  <si>
    <t>Revenue CAGR</t>
  </si>
  <si>
    <t>Company/Ratios</t>
  </si>
  <si>
    <t xml:space="preserve">Average + Trend </t>
  </si>
  <si>
    <t xml:space="preserve"> CF to Debt</t>
  </si>
  <si>
    <t>Leverage Score</t>
  </si>
  <si>
    <t>Profitability Ratio</t>
  </si>
  <si>
    <t>Liquidity Score</t>
  </si>
  <si>
    <t>Efficiency Score</t>
  </si>
  <si>
    <t>SCORES</t>
  </si>
  <si>
    <t>Credit Score</t>
  </si>
  <si>
    <t>Credit Ratings</t>
  </si>
  <si>
    <t>A</t>
  </si>
  <si>
    <t>B</t>
  </si>
  <si>
    <t>C</t>
  </si>
  <si>
    <t>A+</t>
  </si>
  <si>
    <t>B+</t>
  </si>
  <si>
    <t>C+</t>
  </si>
  <si>
    <t>&gt;4.00</t>
  </si>
  <si>
    <t>3.5 - 4.00</t>
  </si>
  <si>
    <t>3.0 - 3.49</t>
  </si>
  <si>
    <t>2.5 - 2.99</t>
  </si>
  <si>
    <t>2.0 - 2.49</t>
  </si>
  <si>
    <t>1.5 - 1.99</t>
  </si>
  <si>
    <t>Rating</t>
  </si>
  <si>
    <t>Interval</t>
  </si>
  <si>
    <t>WEIGHTS</t>
  </si>
  <si>
    <t>Expected Loss (EL) = Probability of Default(PD) * Loss Given a Default * Exposure</t>
  </si>
  <si>
    <t>Exposure</t>
  </si>
  <si>
    <t>LGD</t>
  </si>
  <si>
    <t>(Constant) Assumption</t>
  </si>
  <si>
    <t>Industry Average</t>
  </si>
  <si>
    <t>PD</t>
  </si>
  <si>
    <t>Based on Values of Credit Rating  Companies</t>
  </si>
  <si>
    <t>EXPOSURE</t>
  </si>
  <si>
    <t>EL9(Percentage)</t>
  </si>
  <si>
    <t>Severe Stress</t>
  </si>
  <si>
    <t>Scenario 1</t>
  </si>
  <si>
    <t>Scenario 2</t>
  </si>
  <si>
    <t>Leverage</t>
  </si>
  <si>
    <t>Liquidity</t>
  </si>
  <si>
    <t>Efficiency</t>
  </si>
  <si>
    <t>Profitability</t>
  </si>
  <si>
    <t>Mild Stress</t>
  </si>
  <si>
    <t>Scenario 1 Mild Stress</t>
  </si>
  <si>
    <t>Credit Rating</t>
  </si>
  <si>
    <t>Scenario 2 Severe Stress</t>
  </si>
  <si>
    <t>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</si>
</sst>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3" borderId="1" xfId="0" applyNumberFormat="1" applyFill="1" applyBorder="1"/>
    <xf numFmtId="0" fontId="6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0" borderId="1" xfId="0" applyFont="1" applyBorder="1"/>
    <xf numFmtId="49" fontId="0" fillId="0" borderId="1" xfId="0" applyNumberFormat="1" applyBorder="1"/>
    <xf numFmtId="9" fontId="0" fillId="0" borderId="1" xfId="0" applyNumberFormat="1" applyBorder="1"/>
    <xf numFmtId="0" fontId="3" fillId="0" borderId="1" xfId="0" applyFont="1" applyBorder="1"/>
    <xf numFmtId="0" fontId="3" fillId="0" borderId="0" xfId="0" applyFont="1"/>
    <xf numFmtId="9" fontId="0" fillId="0" borderId="0" xfId="0" applyNumberFormat="1"/>
    <xf numFmtId="0" fontId="4" fillId="4" borderId="0" xfId="0" applyFont="1" applyFill="1"/>
    <xf numFmtId="0" fontId="4" fillId="0" borderId="0" xfId="0" applyFont="1"/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8" fillId="6" borderId="2" xfId="0" applyFont="1" applyFill="1" applyBorder="1"/>
    <xf numFmtId="0" fontId="7" fillId="6" borderId="1" xfId="0" applyFont="1" applyFill="1" applyBorder="1" applyAlignment="1">
      <alignment horizontal="center"/>
    </xf>
    <xf numFmtId="0" fontId="7" fillId="0" borderId="0" xfId="0" applyFont="1" applyFill="1" applyAlignment="1"/>
    <xf numFmtId="0" fontId="10" fillId="0" borderId="0" xfId="0" applyFont="1" applyFill="1" applyAlignment="1"/>
    <xf numFmtId="0" fontId="9" fillId="0" borderId="0" xfId="0" applyFont="1" applyFill="1"/>
    <xf numFmtId="2" fontId="0" fillId="7" borderId="1" xfId="0" applyNumberFormat="1" applyFill="1" applyBorder="1"/>
    <xf numFmtId="0" fontId="0" fillId="0" borderId="0" xfId="0" applyAlignment="1">
      <alignment horizontal="center"/>
    </xf>
    <xf numFmtId="9" fontId="8" fillId="8" borderId="1" xfId="0" applyNumberFormat="1" applyFont="1" applyFill="1" applyBorder="1"/>
    <xf numFmtId="0" fontId="8" fillId="8" borderId="1" xfId="0" applyFont="1" applyFill="1" applyBorder="1"/>
    <xf numFmtId="2" fontId="0" fillId="0" borderId="1" xfId="0" applyNumberForma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B379-7E93-4951-8B52-D9041A64EA90}">
  <dimension ref="B3:G13"/>
  <sheetViews>
    <sheetView workbookViewId="0">
      <selection activeCell="C19" sqref="C19"/>
    </sheetView>
  </sheetViews>
  <sheetFormatPr defaultRowHeight="14.4" x14ac:dyDescent="0.3"/>
  <cols>
    <col min="3" max="3" width="19" bestFit="1" customWidth="1"/>
    <col min="5" max="5" width="13.88671875" bestFit="1" customWidth="1"/>
    <col min="6" max="6" width="26.88671875" bestFit="1" customWidth="1"/>
  </cols>
  <sheetData>
    <row r="3" spans="2:7" ht="15.6" x14ac:dyDescent="0.3">
      <c r="B3" s="25" t="s">
        <v>17</v>
      </c>
      <c r="C3" s="25" t="s">
        <v>3</v>
      </c>
      <c r="D3" s="25" t="s">
        <v>4</v>
      </c>
      <c r="E3" s="25" t="s">
        <v>19</v>
      </c>
      <c r="F3" s="25" t="s">
        <v>5</v>
      </c>
      <c r="G3" s="2"/>
    </row>
    <row r="4" spans="2:7" x14ac:dyDescent="0.3">
      <c r="B4" s="3">
        <v>1</v>
      </c>
      <c r="C4" s="4" t="s">
        <v>0</v>
      </c>
      <c r="D4" s="4" t="s">
        <v>6</v>
      </c>
      <c r="E4" s="4" t="s">
        <v>36</v>
      </c>
      <c r="F4" s="4" t="s">
        <v>18</v>
      </c>
    </row>
    <row r="5" spans="2:7" x14ac:dyDescent="0.3">
      <c r="B5" s="3">
        <v>2</v>
      </c>
      <c r="C5" s="4" t="s">
        <v>7</v>
      </c>
      <c r="D5" s="4" t="s">
        <v>6</v>
      </c>
      <c r="E5" s="4" t="s">
        <v>36</v>
      </c>
      <c r="F5" s="4" t="s">
        <v>18</v>
      </c>
    </row>
    <row r="6" spans="2:7" x14ac:dyDescent="0.3">
      <c r="B6" s="3">
        <v>3</v>
      </c>
      <c r="C6" s="4" t="s">
        <v>8</v>
      </c>
      <c r="D6" s="4" t="s">
        <v>6</v>
      </c>
      <c r="E6" s="4" t="s">
        <v>36</v>
      </c>
      <c r="F6" s="4" t="s">
        <v>18</v>
      </c>
    </row>
    <row r="7" spans="2:7" x14ac:dyDescent="0.3">
      <c r="B7" s="3">
        <v>4</v>
      </c>
      <c r="C7" s="4" t="s">
        <v>9</v>
      </c>
      <c r="D7" s="4" t="s">
        <v>6</v>
      </c>
      <c r="E7" s="4" t="s">
        <v>36</v>
      </c>
      <c r="F7" s="4" t="s">
        <v>18</v>
      </c>
    </row>
    <row r="8" spans="2:7" x14ac:dyDescent="0.3">
      <c r="B8" s="3">
        <v>5</v>
      </c>
      <c r="C8" s="4" t="s">
        <v>10</v>
      </c>
      <c r="D8" s="4" t="s">
        <v>6</v>
      </c>
      <c r="E8" s="4" t="s">
        <v>36</v>
      </c>
      <c r="F8" s="4" t="s">
        <v>18</v>
      </c>
    </row>
    <row r="9" spans="2:7" x14ac:dyDescent="0.3">
      <c r="B9" s="3">
        <v>6</v>
      </c>
      <c r="C9" s="4" t="s">
        <v>11</v>
      </c>
      <c r="D9" s="4" t="s">
        <v>6</v>
      </c>
      <c r="E9" s="4" t="s">
        <v>36</v>
      </c>
      <c r="F9" s="4" t="s">
        <v>18</v>
      </c>
    </row>
    <row r="10" spans="2:7" x14ac:dyDescent="0.3">
      <c r="B10" s="3">
        <v>7</v>
      </c>
      <c r="C10" s="4" t="s">
        <v>12</v>
      </c>
      <c r="D10" s="4" t="s">
        <v>6</v>
      </c>
      <c r="E10" s="4" t="s">
        <v>36</v>
      </c>
      <c r="F10" s="4" t="s">
        <v>18</v>
      </c>
    </row>
    <row r="11" spans="2:7" x14ac:dyDescent="0.3">
      <c r="B11" s="3">
        <v>8</v>
      </c>
      <c r="C11" s="4" t="s">
        <v>13</v>
      </c>
      <c r="D11" s="4" t="s">
        <v>6</v>
      </c>
      <c r="E11" s="4" t="s">
        <v>36</v>
      </c>
      <c r="F11" s="4" t="s">
        <v>18</v>
      </c>
    </row>
    <row r="12" spans="2:7" x14ac:dyDescent="0.3">
      <c r="B12" s="3">
        <v>9</v>
      </c>
      <c r="C12" s="4" t="s">
        <v>14</v>
      </c>
      <c r="D12" s="4" t="s">
        <v>15</v>
      </c>
      <c r="E12" s="4" t="s">
        <v>36</v>
      </c>
      <c r="F12" s="4" t="s">
        <v>18</v>
      </c>
    </row>
    <row r="13" spans="2:7" x14ac:dyDescent="0.3">
      <c r="B13" s="3">
        <v>10</v>
      </c>
      <c r="C13" s="4" t="s">
        <v>16</v>
      </c>
      <c r="D13" s="4" t="s">
        <v>15</v>
      </c>
      <c r="E13" s="4" t="s">
        <v>36</v>
      </c>
      <c r="F13" s="4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9DE1-766B-489C-B3CA-82C8CD070736}">
  <dimension ref="A1:Z58"/>
  <sheetViews>
    <sheetView zoomScale="94" zoomScaleNormal="94" workbookViewId="0">
      <pane ySplit="1" topLeftCell="A2" activePane="bottomLeft" state="frozen"/>
      <selection activeCell="K1" sqref="K1"/>
      <selection pane="bottomLeft" activeCell="C6" sqref="C6"/>
    </sheetView>
  </sheetViews>
  <sheetFormatPr defaultRowHeight="14.4" x14ac:dyDescent="0.3"/>
  <cols>
    <col min="1" max="1" width="19" bestFit="1" customWidth="1"/>
    <col min="2" max="2" width="12.6640625" customWidth="1"/>
    <col min="3" max="3" width="11.33203125" bestFit="1" customWidth="1"/>
    <col min="4" max="5" width="10.44140625" bestFit="1" customWidth="1"/>
    <col min="6" max="6" width="11" bestFit="1" customWidth="1"/>
    <col min="7" max="7" width="12" bestFit="1" customWidth="1"/>
    <col min="8" max="8" width="15.21875" bestFit="1" customWidth="1"/>
    <col min="9" max="9" width="10.88671875" bestFit="1" customWidth="1"/>
    <col min="10" max="10" width="13.77734375" bestFit="1" customWidth="1"/>
    <col min="11" max="12" width="17.6640625" bestFit="1" customWidth="1"/>
    <col min="13" max="14" width="19" bestFit="1" customWidth="1"/>
    <col min="15" max="15" width="15.109375" bestFit="1" customWidth="1"/>
    <col min="16" max="17" width="20.5546875" bestFit="1" customWidth="1"/>
    <col min="18" max="18" width="19.6640625" bestFit="1" customWidth="1"/>
    <col min="19" max="19" width="15.109375" bestFit="1" customWidth="1"/>
    <col min="20" max="23" width="10.44140625" bestFit="1" customWidth="1"/>
  </cols>
  <sheetData>
    <row r="1" spans="1:22" ht="15.6" x14ac:dyDescent="0.3">
      <c r="A1" s="25" t="s">
        <v>20</v>
      </c>
      <c r="B1" s="25" t="s">
        <v>21</v>
      </c>
      <c r="C1" s="25" t="s">
        <v>22</v>
      </c>
      <c r="D1" s="25" t="s">
        <v>2</v>
      </c>
      <c r="E1" s="25" t="s">
        <v>1</v>
      </c>
      <c r="F1" s="25" t="s">
        <v>23</v>
      </c>
      <c r="G1" s="25" t="s">
        <v>24</v>
      </c>
      <c r="H1" s="25" t="s">
        <v>25</v>
      </c>
      <c r="I1" s="25" t="s">
        <v>26</v>
      </c>
      <c r="J1" s="25" t="s">
        <v>27</v>
      </c>
      <c r="K1" s="25" t="s">
        <v>28</v>
      </c>
      <c r="L1" s="25" t="s">
        <v>29</v>
      </c>
      <c r="M1" s="25" t="s">
        <v>30</v>
      </c>
      <c r="N1" s="25" t="s">
        <v>31</v>
      </c>
      <c r="O1" s="25" t="s">
        <v>32</v>
      </c>
      <c r="P1" s="25" t="s">
        <v>33</v>
      </c>
      <c r="Q1" s="25" t="s">
        <v>34</v>
      </c>
      <c r="R1" s="25" t="s">
        <v>35</v>
      </c>
    </row>
    <row r="2" spans="1:22" x14ac:dyDescent="0.3">
      <c r="A2" s="4" t="s">
        <v>0</v>
      </c>
      <c r="B2" s="4">
        <v>2019</v>
      </c>
      <c r="C2" s="5">
        <v>88785.8</v>
      </c>
      <c r="D2" s="6">
        <v>13720.5</v>
      </c>
      <c r="E2" s="6">
        <v>10699.7</v>
      </c>
      <c r="F2" s="6">
        <v>7649.1</v>
      </c>
      <c r="G2" s="6">
        <v>63968.7</v>
      </c>
      <c r="H2" s="6">
        <v>16859</v>
      </c>
      <c r="I2" s="4">
        <v>8</v>
      </c>
      <c r="J2" s="6">
        <v>12372.7</v>
      </c>
      <c r="K2" s="4">
        <v>14160.5</v>
      </c>
      <c r="L2" s="4">
        <v>3322.6</v>
      </c>
      <c r="M2" s="4">
        <v>47109.7</v>
      </c>
      <c r="N2" s="4">
        <v>75.900000000000006</v>
      </c>
      <c r="O2" s="4">
        <v>63494.9</v>
      </c>
      <c r="P2" s="6">
        <v>6600.9</v>
      </c>
      <c r="Q2" s="6">
        <v>4872.3999999999996</v>
      </c>
      <c r="R2" s="6">
        <v>1728.5</v>
      </c>
    </row>
    <row r="3" spans="1:22" x14ac:dyDescent="0.3">
      <c r="A3" s="4" t="s">
        <v>0</v>
      </c>
      <c r="B3" s="4">
        <v>2022</v>
      </c>
      <c r="C3" s="4">
        <v>90236.4</v>
      </c>
      <c r="D3" s="4">
        <v>7612.8</v>
      </c>
      <c r="E3" s="4">
        <v>4823.8</v>
      </c>
      <c r="F3" s="4">
        <v>3879.5</v>
      </c>
      <c r="G3" s="4">
        <v>4655.5</v>
      </c>
      <c r="H3" s="6">
        <v>19322</v>
      </c>
      <c r="I3" s="6">
        <v>32.9</v>
      </c>
      <c r="J3" s="4">
        <v>16793.400000000001</v>
      </c>
      <c r="K3" s="6">
        <v>17023.5</v>
      </c>
      <c r="L3" s="6">
        <v>3532.3</v>
      </c>
      <c r="M3" s="4">
        <v>55333.5</v>
      </c>
      <c r="N3" s="4">
        <v>126.6</v>
      </c>
      <c r="O3" s="4">
        <v>70819.399999999994</v>
      </c>
      <c r="P3" s="4">
        <v>1840.5</v>
      </c>
      <c r="Q3" s="4">
        <v>3459.3</v>
      </c>
      <c r="R3" s="4">
        <v>-1618.8</v>
      </c>
    </row>
    <row r="4" spans="1:22" x14ac:dyDescent="0.3">
      <c r="A4" s="4" t="s">
        <v>0</v>
      </c>
      <c r="B4" s="4">
        <v>2023</v>
      </c>
      <c r="C4" s="4">
        <v>119889.4</v>
      </c>
      <c r="D4" s="4">
        <v>13335.8</v>
      </c>
      <c r="E4" s="4">
        <v>10510.1</v>
      </c>
      <c r="F4" s="4">
        <v>8211</v>
      </c>
      <c r="G4" s="4">
        <v>84596.9</v>
      </c>
      <c r="H4" s="6">
        <v>22805.599999999999</v>
      </c>
      <c r="I4" s="6">
        <v>24.9</v>
      </c>
      <c r="J4" s="6">
        <v>11615.6</v>
      </c>
      <c r="K4" s="4">
        <v>20107.3</v>
      </c>
      <c r="L4" s="4">
        <v>4283.5</v>
      </c>
      <c r="M4" s="4">
        <v>61791.3</v>
      </c>
      <c r="N4" s="4">
        <v>187</v>
      </c>
      <c r="O4" s="4">
        <v>92079.3</v>
      </c>
      <c r="P4" s="4">
        <v>9251.4</v>
      </c>
      <c r="Q4" s="4">
        <v>6347.3</v>
      </c>
      <c r="R4" s="4">
        <v>2904.1</v>
      </c>
    </row>
    <row r="5" spans="1:22" x14ac:dyDescent="0.3">
      <c r="A5" s="4" t="s">
        <v>0</v>
      </c>
      <c r="B5" s="4">
        <v>2024</v>
      </c>
      <c r="C5" s="4">
        <v>146205.79999999999</v>
      </c>
      <c r="D5" s="4">
        <v>22873.9</v>
      </c>
      <c r="E5" s="4">
        <v>17618.099999999999</v>
      </c>
      <c r="F5" s="4">
        <v>13488.2</v>
      </c>
      <c r="G5" s="4">
        <v>115304.1</v>
      </c>
      <c r="H5" s="5">
        <v>29668.1</v>
      </c>
      <c r="I5" s="5">
        <v>67.7</v>
      </c>
      <c r="J5" s="6">
        <v>22633.8</v>
      </c>
      <c r="K5" s="5">
        <v>25951.8</v>
      </c>
      <c r="L5" s="5">
        <v>5318.1</v>
      </c>
      <c r="M5" s="5">
        <v>85636</v>
      </c>
      <c r="N5" s="4">
        <v>193.6</v>
      </c>
      <c r="O5" s="4">
        <v>107454.5</v>
      </c>
      <c r="P5" s="4">
        <v>16801.099999999999</v>
      </c>
      <c r="Q5" s="4">
        <v>9199.9</v>
      </c>
      <c r="R5" s="4">
        <v>7601.2</v>
      </c>
    </row>
    <row r="6" spans="1:22" x14ac:dyDescent="0.3">
      <c r="A6" s="4" t="s">
        <v>0</v>
      </c>
      <c r="B6" s="4">
        <v>2025</v>
      </c>
      <c r="C6" s="4">
        <v>158179.1</v>
      </c>
      <c r="D6" s="6">
        <v>25422.400000000001</v>
      </c>
      <c r="E6" s="6">
        <v>19814.2</v>
      </c>
      <c r="F6" s="6">
        <v>14500.2</v>
      </c>
      <c r="G6" s="6">
        <v>131971.20000000001</v>
      </c>
      <c r="H6" s="5">
        <v>35731.300000000003</v>
      </c>
      <c r="I6" s="5">
        <v>58.6</v>
      </c>
      <c r="J6" s="6">
        <v>29524.2</v>
      </c>
      <c r="K6" s="5">
        <v>30570.5</v>
      </c>
      <c r="L6" s="5">
        <v>6913.2</v>
      </c>
      <c r="M6" s="5">
        <v>96239.9</v>
      </c>
      <c r="N6" s="4">
        <v>194.2</v>
      </c>
      <c r="O6" s="4">
        <v>116796.9</v>
      </c>
      <c r="P6" s="6">
        <v>16136.2</v>
      </c>
      <c r="Q6" s="6">
        <v>10640.6</v>
      </c>
      <c r="R6" s="4">
        <v>5495.6</v>
      </c>
    </row>
    <row r="7" spans="1:22" x14ac:dyDescent="0.3">
      <c r="A7" s="4" t="s">
        <v>7</v>
      </c>
      <c r="B7" s="4">
        <v>2019</v>
      </c>
      <c r="C7" s="6">
        <v>305280.69</v>
      </c>
      <c r="D7" s="6">
        <v>-2021.92</v>
      </c>
      <c r="E7" s="6">
        <v>-25612.55</v>
      </c>
      <c r="F7" s="6">
        <v>-28826.23</v>
      </c>
      <c r="G7" s="6">
        <v>305703.49</v>
      </c>
      <c r="H7" s="6">
        <v>245000.87</v>
      </c>
      <c r="I7" s="6">
        <v>70973.67</v>
      </c>
      <c r="J7" s="6">
        <v>123431.16</v>
      </c>
      <c r="K7" s="6">
        <v>145457.43</v>
      </c>
      <c r="L7" s="6">
        <v>39013.730000000003</v>
      </c>
      <c r="M7" s="6">
        <v>60702.62</v>
      </c>
      <c r="N7" s="6">
        <v>5758.6</v>
      </c>
      <c r="O7" s="6">
        <v>229097.71</v>
      </c>
      <c r="P7" s="6">
        <v>18890.75</v>
      </c>
      <c r="Q7" s="6">
        <v>35303.519999999997</v>
      </c>
      <c r="R7" s="6">
        <v>-16412.77</v>
      </c>
    </row>
    <row r="8" spans="1:22" x14ac:dyDescent="0.3">
      <c r="A8" s="4" t="s">
        <v>7</v>
      </c>
      <c r="B8" s="4">
        <v>2022</v>
      </c>
      <c r="C8" s="4">
        <v>281617.5</v>
      </c>
      <c r="D8" s="4">
        <v>27144.14</v>
      </c>
      <c r="E8" s="4">
        <v>2308.4499999999998</v>
      </c>
      <c r="F8" s="4">
        <v>-11441.47</v>
      </c>
      <c r="G8" s="4">
        <v>329061.49</v>
      </c>
      <c r="H8" s="4">
        <v>280229.19</v>
      </c>
      <c r="I8" s="4">
        <v>103721.61</v>
      </c>
      <c r="J8" s="4">
        <v>146977.54</v>
      </c>
      <c r="K8" s="6">
        <v>150682.81</v>
      </c>
      <c r="L8" s="6">
        <v>35240.339999999997</v>
      </c>
      <c r="M8" s="6">
        <v>48832.3</v>
      </c>
      <c r="N8" s="4">
        <v>9311.86</v>
      </c>
      <c r="O8" s="4">
        <v>212282.13999999998</v>
      </c>
      <c r="P8" s="4">
        <v>14282.83</v>
      </c>
      <c r="Q8" s="4">
        <v>15168.42</v>
      </c>
      <c r="R8" s="4">
        <v>-885.59</v>
      </c>
    </row>
    <row r="9" spans="1:22" x14ac:dyDescent="0.3">
      <c r="A9" s="4" t="s">
        <v>7</v>
      </c>
      <c r="B9" s="4">
        <v>2023</v>
      </c>
      <c r="C9" s="4">
        <v>352871.35</v>
      </c>
      <c r="D9" s="4">
        <v>38479.769999999997</v>
      </c>
      <c r="E9" s="4">
        <v>13619.41</v>
      </c>
      <c r="F9" s="4">
        <v>2414.29</v>
      </c>
      <c r="G9" s="4">
        <v>334674.43</v>
      </c>
      <c r="H9" s="4">
        <v>282074.92</v>
      </c>
      <c r="I9" s="4">
        <v>96264.3</v>
      </c>
      <c r="J9" s="4">
        <v>150700.69</v>
      </c>
      <c r="K9" s="4">
        <v>155027.32999999999</v>
      </c>
      <c r="L9" s="4">
        <v>40755.39</v>
      </c>
      <c r="M9" s="4">
        <v>52599.51</v>
      </c>
      <c r="N9" s="4">
        <v>10225.48</v>
      </c>
      <c r="O9" s="4">
        <v>267419.28999999998</v>
      </c>
      <c r="P9" s="6">
        <v>35388.01</v>
      </c>
      <c r="Q9" s="6">
        <v>19230.169999999998</v>
      </c>
      <c r="R9" s="6">
        <v>16157.84</v>
      </c>
    </row>
    <row r="10" spans="1:22" x14ac:dyDescent="0.3">
      <c r="A10" s="4" t="s">
        <v>7</v>
      </c>
      <c r="B10" s="4">
        <v>2024</v>
      </c>
      <c r="C10" s="4">
        <v>440393</v>
      </c>
      <c r="D10" s="4">
        <v>62616</v>
      </c>
      <c r="E10" s="4">
        <v>35377</v>
      </c>
      <c r="F10" s="4">
        <v>31399</v>
      </c>
      <c r="G10" s="4">
        <v>369521</v>
      </c>
      <c r="H10" s="4">
        <v>276427</v>
      </c>
      <c r="I10" s="4">
        <v>69819</v>
      </c>
      <c r="J10" s="4">
        <v>168392</v>
      </c>
      <c r="K10" s="4">
        <v>173616</v>
      </c>
      <c r="L10" s="4">
        <v>47788</v>
      </c>
      <c r="M10" s="4">
        <v>93094</v>
      </c>
      <c r="N10" s="4">
        <v>7594</v>
      </c>
      <c r="O10" s="4">
        <v>318500</v>
      </c>
      <c r="P10" s="4">
        <v>67915</v>
      </c>
      <c r="Q10" s="4">
        <v>31414</v>
      </c>
      <c r="R10" s="4">
        <v>36501</v>
      </c>
    </row>
    <row r="11" spans="1:22" x14ac:dyDescent="0.3">
      <c r="A11" s="4" t="s">
        <v>7</v>
      </c>
      <c r="B11" s="4">
        <v>2025</v>
      </c>
      <c r="C11" s="4">
        <v>452193</v>
      </c>
      <c r="D11" s="4">
        <v>66990</v>
      </c>
      <c r="E11" s="4">
        <v>43734</v>
      </c>
      <c r="F11" s="4">
        <v>27830</v>
      </c>
      <c r="G11" s="4">
        <v>376973</v>
      </c>
      <c r="H11" s="4">
        <v>254219</v>
      </c>
      <c r="I11" s="4">
        <v>47859</v>
      </c>
      <c r="J11" s="4">
        <v>160325</v>
      </c>
      <c r="K11" s="4">
        <v>166684</v>
      </c>
      <c r="L11" s="4">
        <v>47269</v>
      </c>
      <c r="M11" s="4">
        <v>122754</v>
      </c>
      <c r="N11" s="4">
        <v>5083</v>
      </c>
      <c r="O11" s="4">
        <v>319160</v>
      </c>
      <c r="P11" s="4">
        <v>63102</v>
      </c>
      <c r="Q11" s="4">
        <v>38042</v>
      </c>
      <c r="R11" s="4">
        <v>25060</v>
      </c>
    </row>
    <row r="12" spans="1:22" x14ac:dyDescent="0.3">
      <c r="A12" s="4" t="s">
        <v>8</v>
      </c>
      <c r="B12" s="4">
        <v>2019</v>
      </c>
      <c r="C12" s="6">
        <v>107742.09</v>
      </c>
      <c r="D12" s="6">
        <v>17882.96</v>
      </c>
      <c r="E12" s="6">
        <v>13892.19</v>
      </c>
      <c r="F12" s="6">
        <v>5315.46</v>
      </c>
      <c r="G12" s="6">
        <v>161888.66</v>
      </c>
      <c r="H12" s="6">
        <v>113544.68</v>
      </c>
      <c r="I12" s="6">
        <v>43526.17</v>
      </c>
      <c r="J12" s="6">
        <v>69406.039999999994</v>
      </c>
      <c r="K12" s="6">
        <v>58609.33</v>
      </c>
      <c r="L12" s="6">
        <v>12200.16</v>
      </c>
      <c r="M12" s="6">
        <v>48343.98</v>
      </c>
      <c r="N12" s="6">
        <v>5021.3500000000004</v>
      </c>
      <c r="O12" s="6">
        <v>73940.38</v>
      </c>
      <c r="P12" s="6">
        <v>-4347.29</v>
      </c>
      <c r="Q12" s="6">
        <v>7340.01</v>
      </c>
      <c r="R12" s="6">
        <v>-11687.3</v>
      </c>
    </row>
    <row r="13" spans="1:22" x14ac:dyDescent="0.3">
      <c r="A13" s="4" t="s">
        <v>8</v>
      </c>
      <c r="B13" s="4">
        <v>2022</v>
      </c>
      <c r="C13" s="4">
        <v>93545.23</v>
      </c>
      <c r="D13" s="4">
        <v>17887.32</v>
      </c>
      <c r="E13" s="4">
        <v>14379.82</v>
      </c>
      <c r="F13" s="4">
        <v>6577.32</v>
      </c>
      <c r="G13" s="6">
        <v>172388.49</v>
      </c>
      <c r="H13" s="6">
        <v>115563.23</v>
      </c>
      <c r="I13" s="6">
        <v>51057.61</v>
      </c>
      <c r="J13" s="6">
        <v>75148</v>
      </c>
      <c r="K13" s="6">
        <v>56288.33</v>
      </c>
      <c r="L13" s="6">
        <v>11595.82</v>
      </c>
      <c r="M13" s="6">
        <v>56825.26</v>
      </c>
      <c r="N13" s="4">
        <v>5018.05</v>
      </c>
      <c r="O13" s="4">
        <v>61592.859999999993</v>
      </c>
      <c r="P13" s="6">
        <v>9247.5499999999993</v>
      </c>
      <c r="Q13" s="6">
        <v>6039.8</v>
      </c>
      <c r="R13" s="6">
        <v>3207.75</v>
      </c>
    </row>
    <row r="14" spans="1:22" x14ac:dyDescent="0.3">
      <c r="A14" s="4" t="s">
        <v>8</v>
      </c>
      <c r="B14" s="4">
        <v>2023</v>
      </c>
      <c r="C14" s="4">
        <v>126971.91</v>
      </c>
      <c r="D14" s="6">
        <v>24246.74</v>
      </c>
      <c r="E14" s="6">
        <v>19889.93</v>
      </c>
      <c r="F14" s="6">
        <v>10281.5</v>
      </c>
      <c r="G14" s="6">
        <v>204283.13</v>
      </c>
      <c r="H14" s="6">
        <v>137201.01999999999</v>
      </c>
      <c r="I14" s="6">
        <v>57909.89</v>
      </c>
      <c r="J14" s="4">
        <v>91325.440000000002</v>
      </c>
      <c r="K14" s="6">
        <v>70579.41</v>
      </c>
      <c r="L14" s="6">
        <v>16854.97</v>
      </c>
      <c r="M14" s="6">
        <v>67082.11</v>
      </c>
      <c r="N14" s="6">
        <v>5829.7</v>
      </c>
      <c r="O14" s="6">
        <v>86528.299999999988</v>
      </c>
      <c r="P14" s="6">
        <v>-7074.02</v>
      </c>
      <c r="Q14" s="6">
        <v>6304.57</v>
      </c>
      <c r="R14" s="4">
        <v>-13378.59</v>
      </c>
      <c r="T14" s="1"/>
      <c r="U14" s="1"/>
      <c r="V14" s="1"/>
    </row>
    <row r="15" spans="1:22" x14ac:dyDescent="0.3">
      <c r="A15" s="4" t="s">
        <v>8</v>
      </c>
      <c r="B15" s="4">
        <v>2024</v>
      </c>
      <c r="C15" s="4">
        <v>142376.12</v>
      </c>
      <c r="D15" s="4">
        <v>28189.78</v>
      </c>
      <c r="E15" s="4">
        <v>23466</v>
      </c>
      <c r="F15" s="4">
        <v>11268.64</v>
      </c>
      <c r="G15" s="4">
        <v>234721.74</v>
      </c>
      <c r="H15" s="4">
        <v>155190.67000000001</v>
      </c>
      <c r="I15" s="4">
        <v>70533.61</v>
      </c>
      <c r="J15" s="4">
        <v>98265.64</v>
      </c>
      <c r="K15" s="4">
        <v>75545.649999999994</v>
      </c>
      <c r="L15" s="4">
        <v>18590.47</v>
      </c>
      <c r="M15" s="4">
        <v>79531.070000000007</v>
      </c>
      <c r="N15" s="4">
        <v>7488.21</v>
      </c>
      <c r="O15" s="4">
        <v>96447.13</v>
      </c>
      <c r="P15" s="4">
        <v>-5629.95</v>
      </c>
      <c r="Q15" s="4">
        <v>9945.99</v>
      </c>
      <c r="R15" s="4">
        <v>-15575.94</v>
      </c>
    </row>
    <row r="16" spans="1:22" x14ac:dyDescent="0.3">
      <c r="A16" s="4" t="s">
        <v>8</v>
      </c>
      <c r="B16" s="4">
        <v>2025</v>
      </c>
      <c r="C16" s="4">
        <v>162929.29</v>
      </c>
      <c r="D16" s="4">
        <v>34236.660000000003</v>
      </c>
      <c r="E16" s="4">
        <v>28163.01</v>
      </c>
      <c r="F16" s="4">
        <v>12929.1</v>
      </c>
      <c r="G16" s="4">
        <v>276013.15999999997</v>
      </c>
      <c r="H16" s="6">
        <v>182839.89</v>
      </c>
      <c r="I16" s="6">
        <v>82877.33</v>
      </c>
      <c r="J16" s="6">
        <v>126573.27</v>
      </c>
      <c r="K16" s="6">
        <v>90322.01</v>
      </c>
      <c r="L16" s="6">
        <v>20330.93</v>
      </c>
      <c r="M16" s="6">
        <v>93173.27</v>
      </c>
      <c r="N16" s="6">
        <v>9083.39</v>
      </c>
      <c r="O16" s="6">
        <v>107713.42</v>
      </c>
      <c r="P16" s="6">
        <v>3175.81</v>
      </c>
      <c r="Q16" s="6">
        <v>10391.950000000001</v>
      </c>
      <c r="R16" s="6">
        <v>-7216.14</v>
      </c>
    </row>
    <row r="17" spans="1:26" x14ac:dyDescent="0.3">
      <c r="A17" s="4" t="s">
        <v>9</v>
      </c>
      <c r="B17" s="4">
        <v>2019</v>
      </c>
      <c r="C17" s="6">
        <v>33795.769999999997</v>
      </c>
      <c r="D17" s="6">
        <v>5049.46</v>
      </c>
      <c r="E17" s="6">
        <v>4373.8999999999996</v>
      </c>
      <c r="F17" s="6">
        <v>2078.6999999999998</v>
      </c>
      <c r="G17" s="6">
        <v>39125.599999999999</v>
      </c>
      <c r="H17" s="6">
        <v>29304.959999999999</v>
      </c>
      <c r="I17" s="6">
        <v>13009.65</v>
      </c>
      <c r="J17" s="6">
        <v>16501.47</v>
      </c>
      <c r="K17" s="6">
        <v>15329.85</v>
      </c>
      <c r="L17" s="6">
        <v>3077.42</v>
      </c>
      <c r="M17" s="6">
        <v>9820.64</v>
      </c>
      <c r="N17" s="6">
        <v>1502.24</v>
      </c>
      <c r="O17" s="6">
        <v>25475.599999999999</v>
      </c>
      <c r="P17" s="6">
        <v>-3745.49</v>
      </c>
      <c r="Q17" s="6">
        <v>1126.3499999999999</v>
      </c>
      <c r="R17" s="6">
        <v>-4871.84</v>
      </c>
      <c r="T17" s="1"/>
      <c r="U17" s="1"/>
    </row>
    <row r="18" spans="1:26" x14ac:dyDescent="0.3">
      <c r="A18" s="4" t="s">
        <v>9</v>
      </c>
      <c r="B18" s="4">
        <v>2022</v>
      </c>
      <c r="C18" s="4">
        <v>26741.54</v>
      </c>
      <c r="D18" s="4">
        <v>2535.42</v>
      </c>
      <c r="E18" s="6">
        <v>1669.46</v>
      </c>
      <c r="F18" s="6">
        <v>-358.61</v>
      </c>
      <c r="G18" s="6">
        <v>43573.65</v>
      </c>
      <c r="H18" s="6">
        <v>34983.49</v>
      </c>
      <c r="I18" s="6">
        <v>15457.87</v>
      </c>
      <c r="J18" s="6">
        <v>18638.3</v>
      </c>
      <c r="K18" s="6">
        <v>18615.900000000001</v>
      </c>
      <c r="L18" s="4">
        <v>2540.5500000000002</v>
      </c>
      <c r="M18" s="4">
        <v>8590.16</v>
      </c>
      <c r="N18" s="6">
        <v>1869.05</v>
      </c>
      <c r="O18" s="6">
        <v>20391.099999999999</v>
      </c>
      <c r="P18" s="6">
        <v>2844.56</v>
      </c>
      <c r="Q18" s="6">
        <v>508.72</v>
      </c>
      <c r="R18" s="6">
        <v>2335.84</v>
      </c>
    </row>
    <row r="19" spans="1:26" x14ac:dyDescent="0.3">
      <c r="A19" s="4" t="s">
        <v>9</v>
      </c>
      <c r="B19" s="4">
        <v>2023</v>
      </c>
      <c r="C19" s="4">
        <v>42499.33</v>
      </c>
      <c r="D19" s="4">
        <v>5258.65</v>
      </c>
      <c r="E19" s="4">
        <v>4358.43</v>
      </c>
      <c r="F19" s="4">
        <v>1238.71</v>
      </c>
      <c r="G19" s="6">
        <v>54696.93</v>
      </c>
      <c r="H19" s="6">
        <v>43901.120000000003</v>
      </c>
      <c r="I19" s="6">
        <v>19691.830000000002</v>
      </c>
      <c r="J19" s="6">
        <v>24243.439999999999</v>
      </c>
      <c r="K19" s="6">
        <v>22454.95</v>
      </c>
      <c r="L19" s="6">
        <v>3440.43</v>
      </c>
      <c r="M19" s="6">
        <v>10795.81</v>
      </c>
      <c r="N19" s="6">
        <v>2093.5</v>
      </c>
      <c r="O19" s="6">
        <v>33020.229999999996</v>
      </c>
      <c r="P19" s="6">
        <v>-4499.26</v>
      </c>
      <c r="Q19" s="6">
        <v>929.1</v>
      </c>
      <c r="R19" s="6">
        <v>-5428.36</v>
      </c>
      <c r="T19" s="1"/>
      <c r="U19" s="1"/>
      <c r="V19" s="1"/>
      <c r="W19" s="1"/>
      <c r="X19" s="1"/>
    </row>
    <row r="20" spans="1:26" x14ac:dyDescent="0.3">
      <c r="A20" s="4" t="s">
        <v>9</v>
      </c>
      <c r="B20" s="4">
        <v>2024</v>
      </c>
      <c r="C20" s="4">
        <v>46766.7</v>
      </c>
      <c r="D20" s="4">
        <v>8015.61</v>
      </c>
      <c r="E20" s="4">
        <v>7088.32</v>
      </c>
      <c r="F20" s="6">
        <v>2483.52</v>
      </c>
      <c r="G20" s="6">
        <v>67595.11</v>
      </c>
      <c r="H20" s="6">
        <v>55780.52</v>
      </c>
      <c r="I20" s="6">
        <v>26846.92</v>
      </c>
      <c r="J20" s="6">
        <v>29126.54</v>
      </c>
      <c r="K20" s="6">
        <v>26679.93</v>
      </c>
      <c r="L20" s="6">
        <v>4008.01</v>
      </c>
      <c r="M20" s="6">
        <v>11814.59</v>
      </c>
      <c r="N20" s="6">
        <v>2982.25</v>
      </c>
      <c r="O20" s="6">
        <v>33815.550000000003</v>
      </c>
      <c r="P20" s="6">
        <v>-6257.98</v>
      </c>
      <c r="Q20" s="6">
        <v>1133.54</v>
      </c>
      <c r="R20" s="6">
        <v>-7391.52</v>
      </c>
      <c r="T20" s="1"/>
      <c r="U20" s="1"/>
      <c r="V20" s="1"/>
      <c r="W20" s="1"/>
    </row>
    <row r="21" spans="1:26" x14ac:dyDescent="0.3">
      <c r="A21" s="4" t="s">
        <v>9</v>
      </c>
      <c r="B21" s="4">
        <v>2025</v>
      </c>
      <c r="C21" s="4">
        <v>49976.21</v>
      </c>
      <c r="D21" s="4">
        <v>9613.19</v>
      </c>
      <c r="E21" s="4">
        <v>8526.5400000000009</v>
      </c>
      <c r="F21" s="4">
        <v>3106.8</v>
      </c>
      <c r="G21" s="4">
        <v>81546.31</v>
      </c>
      <c r="H21" s="4">
        <v>65701.45</v>
      </c>
      <c r="I21" s="4">
        <v>36568.32</v>
      </c>
      <c r="J21" s="4">
        <v>34240.239999999998</v>
      </c>
      <c r="K21" s="4">
        <v>26551.46</v>
      </c>
      <c r="L21" s="4">
        <v>3986.08</v>
      </c>
      <c r="M21" s="6">
        <v>15844.86</v>
      </c>
      <c r="N21" s="6">
        <v>3930.21</v>
      </c>
      <c r="O21" s="6">
        <v>33975.47</v>
      </c>
      <c r="P21" s="6">
        <v>128.47</v>
      </c>
      <c r="Q21" s="6">
        <v>1648.08</v>
      </c>
      <c r="R21" s="6">
        <v>-1519.61</v>
      </c>
      <c r="T21" s="1"/>
      <c r="U21" s="1"/>
      <c r="V21" s="1"/>
      <c r="W21" s="1"/>
    </row>
    <row r="22" spans="1:26" x14ac:dyDescent="0.3">
      <c r="A22" s="4" t="s">
        <v>10</v>
      </c>
      <c r="B22" s="4">
        <v>2019</v>
      </c>
      <c r="C22" s="6">
        <v>10498.85</v>
      </c>
      <c r="D22" s="6">
        <v>3604.9</v>
      </c>
      <c r="E22" s="6">
        <v>3304.62</v>
      </c>
      <c r="F22" s="6">
        <v>2202.73</v>
      </c>
      <c r="G22" s="4">
        <v>11386.83</v>
      </c>
      <c r="H22" s="6">
        <v>2468.11</v>
      </c>
      <c r="I22" s="6">
        <v>0</v>
      </c>
      <c r="J22" s="6">
        <v>4415.3100000000004</v>
      </c>
      <c r="K22" s="6">
        <v>2097.96</v>
      </c>
      <c r="L22" s="6">
        <v>633.38</v>
      </c>
      <c r="M22" s="6">
        <v>8918.7199999999993</v>
      </c>
      <c r="N22" s="6">
        <v>7.33</v>
      </c>
      <c r="O22" s="6">
        <v>6039.0400000000009</v>
      </c>
      <c r="P22" s="6">
        <v>1575.47</v>
      </c>
      <c r="Q22" s="6">
        <v>791.51</v>
      </c>
      <c r="R22" s="6">
        <v>783.96</v>
      </c>
      <c r="T22" s="1"/>
      <c r="U22" s="1"/>
      <c r="V22" s="1"/>
    </row>
    <row r="23" spans="1:26" x14ac:dyDescent="0.3">
      <c r="A23" s="4" t="s">
        <v>10</v>
      </c>
      <c r="B23" s="4">
        <v>2022</v>
      </c>
      <c r="C23" s="4">
        <v>10798.8</v>
      </c>
      <c r="D23" s="4">
        <v>2673.22</v>
      </c>
      <c r="E23" s="4">
        <v>2221.29</v>
      </c>
      <c r="F23" s="4">
        <v>1676.6</v>
      </c>
      <c r="G23" s="4">
        <v>16139.83</v>
      </c>
      <c r="H23" s="4">
        <v>3531.83</v>
      </c>
      <c r="I23" s="4">
        <v>35.32</v>
      </c>
      <c r="J23" s="4">
        <v>5619.34</v>
      </c>
      <c r="K23" s="4">
        <v>2893.37</v>
      </c>
      <c r="L23" s="4">
        <v>1132.4000000000001</v>
      </c>
      <c r="M23" s="6">
        <v>12608</v>
      </c>
      <c r="N23" s="6">
        <v>18.78</v>
      </c>
      <c r="O23" s="6">
        <v>6984.08</v>
      </c>
      <c r="P23" s="6">
        <v>1527.04</v>
      </c>
      <c r="Q23" s="6">
        <v>640.83000000000004</v>
      </c>
      <c r="R23" s="6">
        <v>886.21</v>
      </c>
      <c r="T23" s="1"/>
      <c r="U23" s="1"/>
      <c r="V23" s="1"/>
    </row>
    <row r="24" spans="1:26" x14ac:dyDescent="0.3">
      <c r="A24" s="4" t="s">
        <v>10</v>
      </c>
      <c r="B24" s="4">
        <v>2023</v>
      </c>
      <c r="C24" s="4">
        <v>15352.46</v>
      </c>
      <c r="D24" s="4">
        <v>4353.8599999999997</v>
      </c>
      <c r="E24" s="4">
        <v>3827.65</v>
      </c>
      <c r="F24" s="4">
        <v>2913.94</v>
      </c>
      <c r="G24" s="4">
        <v>19197.64</v>
      </c>
      <c r="H24" s="6">
        <v>4207.3599999999997</v>
      </c>
      <c r="I24" s="6">
        <v>130.75</v>
      </c>
      <c r="J24" s="6">
        <v>3683.23</v>
      </c>
      <c r="K24" s="6">
        <v>3234.58</v>
      </c>
      <c r="L24" s="4">
        <v>1278.44</v>
      </c>
      <c r="M24" s="4">
        <v>14990.28</v>
      </c>
      <c r="N24" s="4">
        <v>28.02</v>
      </c>
      <c r="O24" s="4">
        <v>9355.94</v>
      </c>
      <c r="P24" s="4">
        <v>2822.66</v>
      </c>
      <c r="Q24" s="4">
        <v>682.49</v>
      </c>
      <c r="R24" s="4">
        <v>2140.17</v>
      </c>
      <c r="T24" s="1"/>
      <c r="U24" s="1"/>
      <c r="V24" s="1"/>
    </row>
    <row r="25" spans="1:26" x14ac:dyDescent="0.3">
      <c r="A25" s="4" t="s">
        <v>10</v>
      </c>
      <c r="B25" s="4">
        <v>2024</v>
      </c>
      <c r="C25" s="4">
        <v>18059.37</v>
      </c>
      <c r="D25" s="4">
        <v>5850.5</v>
      </c>
      <c r="E25" s="4">
        <v>5252.9</v>
      </c>
      <c r="F25" s="4">
        <v>4001.01</v>
      </c>
      <c r="G25" s="4">
        <v>23115.13</v>
      </c>
      <c r="H25" s="4">
        <v>5069.6000000000004</v>
      </c>
      <c r="I25" s="4">
        <v>271.44</v>
      </c>
      <c r="J25" s="4">
        <v>4151.33</v>
      </c>
      <c r="K25" s="4">
        <v>3598.41</v>
      </c>
      <c r="L25" s="4">
        <v>1409.64</v>
      </c>
      <c r="M25" s="4">
        <v>18045.53</v>
      </c>
      <c r="N25" s="6">
        <v>50.88</v>
      </c>
      <c r="O25" s="6">
        <v>10503.650000000001</v>
      </c>
      <c r="P25" s="6">
        <v>3723.71</v>
      </c>
      <c r="Q25" s="6">
        <v>818.51</v>
      </c>
      <c r="R25" s="6">
        <v>2905.2</v>
      </c>
    </row>
    <row r="26" spans="1:26" x14ac:dyDescent="0.3">
      <c r="A26" s="4" t="s">
        <v>10</v>
      </c>
      <c r="B26" s="4">
        <v>2025</v>
      </c>
      <c r="C26" s="4">
        <v>20875.060000000001</v>
      </c>
      <c r="D26" s="4">
        <v>6716.74</v>
      </c>
      <c r="E26" s="4">
        <v>5987.41</v>
      </c>
      <c r="F26" s="4">
        <v>4734.4399999999996</v>
      </c>
      <c r="G26" s="4">
        <v>27174.41</v>
      </c>
      <c r="H26" s="6">
        <v>5877.92</v>
      </c>
      <c r="I26" s="6">
        <v>308.17</v>
      </c>
      <c r="J26" s="6">
        <v>6954.16</v>
      </c>
      <c r="K26" s="6">
        <v>4265.78</v>
      </c>
      <c r="L26" s="6">
        <v>1563.75</v>
      </c>
      <c r="M26" s="6">
        <v>21296.49</v>
      </c>
      <c r="N26" s="6">
        <v>54.34</v>
      </c>
      <c r="O26" s="6">
        <v>11950.85</v>
      </c>
      <c r="P26" s="6">
        <v>3979.92</v>
      </c>
      <c r="Q26" s="6">
        <v>1039.33</v>
      </c>
      <c r="R26" s="6">
        <v>2940.59</v>
      </c>
      <c r="W26" s="1"/>
      <c r="X26" s="1"/>
      <c r="Y26" s="1"/>
      <c r="Z26" s="1"/>
    </row>
    <row r="27" spans="1:26" x14ac:dyDescent="0.3">
      <c r="A27" s="4" t="s">
        <v>11</v>
      </c>
      <c r="B27" s="4">
        <v>2019</v>
      </c>
      <c r="C27" s="6">
        <v>32393.87</v>
      </c>
      <c r="D27" s="6">
        <v>7225.75</v>
      </c>
      <c r="E27" s="6">
        <v>6960.06</v>
      </c>
      <c r="F27" s="6">
        <v>4927.6099999999997</v>
      </c>
      <c r="G27" s="4">
        <v>28834.41</v>
      </c>
      <c r="H27" s="6">
        <v>5600.59</v>
      </c>
      <c r="I27" s="6">
        <v>124.52</v>
      </c>
      <c r="J27" s="6">
        <v>7073.16</v>
      </c>
      <c r="K27" s="6">
        <v>4873.78</v>
      </c>
      <c r="L27" s="4">
        <v>961.51</v>
      </c>
      <c r="M27" s="6">
        <v>23233.82</v>
      </c>
      <c r="N27" s="6">
        <v>4.4800000000000004</v>
      </c>
      <c r="O27" s="6">
        <v>23225.999999999996</v>
      </c>
      <c r="P27" s="6">
        <v>2486.86</v>
      </c>
      <c r="Q27" s="6">
        <v>184.31</v>
      </c>
      <c r="R27" s="6">
        <v>2302.5500000000002</v>
      </c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4" t="s">
        <v>11</v>
      </c>
      <c r="B28" s="4">
        <v>2022</v>
      </c>
      <c r="C28" s="4">
        <v>35824.89</v>
      </c>
      <c r="D28" s="4">
        <v>7930.1</v>
      </c>
      <c r="E28" s="4">
        <v>7660.34</v>
      </c>
      <c r="F28" s="4">
        <v>6165.87</v>
      </c>
      <c r="G28" s="4">
        <v>35111.21</v>
      </c>
      <c r="H28" s="4">
        <v>5251.55</v>
      </c>
      <c r="I28" s="6">
        <v>122.77</v>
      </c>
      <c r="J28" s="6">
        <v>10365.61</v>
      </c>
      <c r="K28" s="6">
        <v>4688.5</v>
      </c>
      <c r="L28" s="4">
        <v>1230.51</v>
      </c>
      <c r="M28" s="4">
        <v>29859.66</v>
      </c>
      <c r="N28" s="6">
        <v>8.66</v>
      </c>
      <c r="O28" s="6">
        <v>25612.66</v>
      </c>
      <c r="P28" s="6">
        <v>4197.21</v>
      </c>
      <c r="Q28" s="6">
        <v>550.75</v>
      </c>
      <c r="R28" s="6">
        <v>3646.46</v>
      </c>
    </row>
    <row r="29" spans="1:26" x14ac:dyDescent="0.3">
      <c r="A29" s="4" t="s">
        <v>11</v>
      </c>
      <c r="B29" s="4">
        <v>2023</v>
      </c>
      <c r="C29" s="4">
        <v>38172.19</v>
      </c>
      <c r="D29" s="4">
        <v>8167.34</v>
      </c>
      <c r="E29" s="4">
        <v>7881.49</v>
      </c>
      <c r="F29" s="4">
        <v>6060.21</v>
      </c>
      <c r="G29" s="4">
        <v>35136.449999999997</v>
      </c>
      <c r="H29" s="4">
        <v>5774.9</v>
      </c>
      <c r="I29" s="4">
        <v>124.23</v>
      </c>
      <c r="J29" s="4">
        <v>9650.39</v>
      </c>
      <c r="K29" s="4">
        <v>5270.74</v>
      </c>
      <c r="L29" s="4">
        <v>1563.55</v>
      </c>
      <c r="M29" s="4">
        <v>29361.55</v>
      </c>
      <c r="N29" s="4">
        <v>39.51</v>
      </c>
      <c r="O29" s="6">
        <v>27828.65</v>
      </c>
      <c r="P29" s="6">
        <v>5277.42</v>
      </c>
      <c r="Q29" s="6">
        <v>1110.2</v>
      </c>
      <c r="R29" s="6">
        <v>4167.22</v>
      </c>
      <c r="S29" s="1"/>
      <c r="T29" s="1"/>
      <c r="U29" s="1"/>
      <c r="V29" s="1"/>
    </row>
    <row r="30" spans="1:26" x14ac:dyDescent="0.3">
      <c r="A30" s="4" t="s">
        <v>11</v>
      </c>
      <c r="B30" s="4">
        <v>2024</v>
      </c>
      <c r="C30" s="4">
        <v>46574.04</v>
      </c>
      <c r="D30" s="4">
        <v>10465.17</v>
      </c>
      <c r="E30" s="4">
        <v>10100.4</v>
      </c>
      <c r="F30" s="4">
        <v>7708.24</v>
      </c>
      <c r="G30" s="6">
        <v>39343.69</v>
      </c>
      <c r="H30" s="6">
        <v>10381.27</v>
      </c>
      <c r="I30" s="6">
        <v>759.17</v>
      </c>
      <c r="J30" s="6">
        <v>11798.37</v>
      </c>
      <c r="K30" s="6">
        <v>9091.23</v>
      </c>
      <c r="L30" s="4">
        <v>1688.75</v>
      </c>
      <c r="M30" s="4">
        <v>28962.42</v>
      </c>
      <c r="N30" s="4">
        <v>60.36</v>
      </c>
      <c r="O30" s="4">
        <v>33744.509999999995</v>
      </c>
      <c r="P30" s="6">
        <v>6558.16</v>
      </c>
      <c r="Q30" s="6">
        <v>722.84</v>
      </c>
      <c r="R30" s="6">
        <v>5835.32</v>
      </c>
      <c r="S30" s="1"/>
      <c r="T30" s="1"/>
      <c r="U30" s="1"/>
    </row>
    <row r="31" spans="1:26" x14ac:dyDescent="0.3">
      <c r="A31" s="4" t="s">
        <v>11</v>
      </c>
      <c r="B31" s="4">
        <v>2025</v>
      </c>
      <c r="C31" s="4">
        <v>52468.959999999999</v>
      </c>
      <c r="D31" s="4">
        <v>11026.66</v>
      </c>
      <c r="E31" s="4">
        <v>10612.43</v>
      </c>
      <c r="F31" s="4">
        <v>7324.73</v>
      </c>
      <c r="G31" s="6">
        <v>54109.919999999998</v>
      </c>
      <c r="H31" s="6">
        <v>18921.169999999998</v>
      </c>
      <c r="I31" s="6">
        <v>6210.38</v>
      </c>
      <c r="J31" s="6">
        <v>19445.93</v>
      </c>
      <c r="K31" s="6">
        <v>11583.81</v>
      </c>
      <c r="L31" s="4">
        <v>2077.36</v>
      </c>
      <c r="M31" s="4">
        <v>35188.75</v>
      </c>
      <c r="N31" s="4">
        <v>388.9</v>
      </c>
      <c r="O31" s="6">
        <v>37333.520000000004</v>
      </c>
      <c r="P31" s="4">
        <v>-1405.57</v>
      </c>
      <c r="Q31" s="6">
        <v>873.84</v>
      </c>
      <c r="R31" s="6">
        <v>-2279.41</v>
      </c>
      <c r="S31" s="1"/>
      <c r="T31" s="1"/>
    </row>
    <row r="32" spans="1:26" x14ac:dyDescent="0.3">
      <c r="A32" s="4" t="s">
        <v>12</v>
      </c>
      <c r="B32" s="4">
        <v>2019</v>
      </c>
      <c r="C32" s="4">
        <v>34718.31</v>
      </c>
      <c r="D32" s="4">
        <v>5765.92</v>
      </c>
      <c r="E32" s="4">
        <v>5141.4799999999996</v>
      </c>
      <c r="F32" s="6">
        <v>3444.09</v>
      </c>
      <c r="G32" s="6">
        <v>18504.36</v>
      </c>
      <c r="H32" s="6">
        <v>5267.84</v>
      </c>
      <c r="I32" s="4">
        <v>124.84</v>
      </c>
      <c r="J32" s="6">
        <v>8413.2099999999991</v>
      </c>
      <c r="K32" s="6">
        <v>4409.18</v>
      </c>
      <c r="L32" s="6">
        <v>1249.53</v>
      </c>
      <c r="M32" s="6">
        <v>13236.52</v>
      </c>
      <c r="N32" s="4">
        <v>37.18</v>
      </c>
      <c r="O32" s="6">
        <v>27623.15</v>
      </c>
      <c r="P32" s="6">
        <v>1032.28</v>
      </c>
      <c r="Q32" s="6">
        <v>979.56</v>
      </c>
      <c r="R32" s="6">
        <v>52.72</v>
      </c>
      <c r="S32" s="1"/>
      <c r="T32" s="1"/>
    </row>
    <row r="33" spans="1:21" x14ac:dyDescent="0.3">
      <c r="A33" s="4" t="s">
        <v>12</v>
      </c>
      <c r="B33" s="4">
        <v>2022</v>
      </c>
      <c r="C33" s="4">
        <v>30106.29</v>
      </c>
      <c r="D33" s="4">
        <v>3800.73</v>
      </c>
      <c r="E33" s="4">
        <v>3111.21</v>
      </c>
      <c r="F33" s="4">
        <v>2316.88</v>
      </c>
      <c r="G33" s="6">
        <v>22478.39</v>
      </c>
      <c r="H33" s="6">
        <v>6483.69</v>
      </c>
      <c r="I33" s="6">
        <v>251.68</v>
      </c>
      <c r="J33" s="6">
        <v>10572.22</v>
      </c>
      <c r="K33" s="6">
        <v>5517.63</v>
      </c>
      <c r="L33" s="4">
        <v>1472.41</v>
      </c>
      <c r="M33" s="4">
        <v>15994.7</v>
      </c>
      <c r="N33" s="4">
        <v>53.1</v>
      </c>
      <c r="O33" s="4">
        <v>22997.19</v>
      </c>
      <c r="P33" s="4">
        <v>2103.6999999999998</v>
      </c>
      <c r="Q33" s="4">
        <v>569.66</v>
      </c>
      <c r="R33" s="4">
        <v>1534.04</v>
      </c>
    </row>
    <row r="34" spans="1:21" x14ac:dyDescent="0.3">
      <c r="A34" s="4" t="s">
        <v>12</v>
      </c>
      <c r="B34" s="4">
        <v>2023</v>
      </c>
      <c r="C34" s="4">
        <v>34730.5</v>
      </c>
      <c r="D34" s="4">
        <v>4665.8900000000003</v>
      </c>
      <c r="E34" s="6">
        <v>3968.5</v>
      </c>
      <c r="F34" s="6">
        <v>2809.96</v>
      </c>
      <c r="G34" s="6">
        <v>23917.03</v>
      </c>
      <c r="H34" s="6">
        <v>7136.4</v>
      </c>
      <c r="I34" s="6">
        <v>239.76</v>
      </c>
      <c r="J34" s="6">
        <v>9435.33</v>
      </c>
      <c r="K34" s="6">
        <v>6012.62</v>
      </c>
      <c r="L34" s="4">
        <v>1756.39</v>
      </c>
      <c r="M34" s="4">
        <v>16780.63</v>
      </c>
      <c r="N34" s="4">
        <v>104.88</v>
      </c>
      <c r="O34" s="4">
        <v>26472.33</v>
      </c>
      <c r="P34" s="4">
        <v>2613.84</v>
      </c>
      <c r="Q34" s="4">
        <v>604.25</v>
      </c>
      <c r="R34" s="4">
        <v>2009.59</v>
      </c>
    </row>
    <row r="35" spans="1:21" x14ac:dyDescent="0.3">
      <c r="A35" s="4" t="s">
        <v>12</v>
      </c>
      <c r="B35" s="4">
        <v>2024</v>
      </c>
      <c r="C35" s="4">
        <v>38643.160000000003</v>
      </c>
      <c r="D35" s="4">
        <v>5923.93</v>
      </c>
      <c r="E35" s="4">
        <v>5166.57</v>
      </c>
      <c r="F35" s="4">
        <v>3744.83</v>
      </c>
      <c r="G35" s="4">
        <v>26152.79</v>
      </c>
      <c r="H35" s="6">
        <v>8318.2199999999993</v>
      </c>
      <c r="I35" s="6">
        <v>199.13</v>
      </c>
      <c r="J35" s="6">
        <v>10315.450000000001</v>
      </c>
      <c r="K35" s="6">
        <v>7048.37</v>
      </c>
      <c r="L35" s="4">
        <v>1755.9</v>
      </c>
      <c r="M35" s="4">
        <v>17834.57</v>
      </c>
      <c r="N35" s="4">
        <v>76.37</v>
      </c>
      <c r="O35" s="4">
        <v>28072.81</v>
      </c>
      <c r="P35" s="4">
        <v>4923.07</v>
      </c>
      <c r="Q35" s="4">
        <v>787.89</v>
      </c>
      <c r="R35" s="4">
        <v>4135.18</v>
      </c>
    </row>
    <row r="36" spans="1:21" x14ac:dyDescent="0.3">
      <c r="A36" s="4" t="s">
        <v>12</v>
      </c>
      <c r="B36" s="4">
        <v>2025</v>
      </c>
      <c r="C36" s="4">
        <v>41967.5</v>
      </c>
      <c r="D36" s="4">
        <v>6828.8</v>
      </c>
      <c r="E36" s="4">
        <v>6004.21</v>
      </c>
      <c r="F36" s="4">
        <v>4378.4799999999996</v>
      </c>
      <c r="G36" s="6">
        <v>28390.32</v>
      </c>
      <c r="H36" s="6">
        <v>8986.23</v>
      </c>
      <c r="I36" s="6">
        <v>196.21</v>
      </c>
      <c r="J36" s="6">
        <v>13433.89</v>
      </c>
      <c r="K36" s="6">
        <v>7475.98</v>
      </c>
      <c r="L36" s="4">
        <v>2013.34</v>
      </c>
      <c r="M36" s="4">
        <v>19404.09</v>
      </c>
      <c r="N36" s="4">
        <v>70.650000000000006</v>
      </c>
      <c r="O36" s="4">
        <v>29966.18</v>
      </c>
      <c r="P36" s="4">
        <v>4297.3900000000003</v>
      </c>
      <c r="Q36" s="4">
        <v>856.63</v>
      </c>
      <c r="R36" s="4">
        <v>3440.76</v>
      </c>
    </row>
    <row r="37" spans="1:21" x14ac:dyDescent="0.3">
      <c r="A37" s="4" t="s">
        <v>13</v>
      </c>
      <c r="B37" s="4">
        <v>2019</v>
      </c>
      <c r="C37" s="6">
        <v>20187.13</v>
      </c>
      <c r="D37" s="6">
        <v>2187.96</v>
      </c>
      <c r="E37" s="6">
        <v>1746.25</v>
      </c>
      <c r="F37" s="4">
        <v>704.67</v>
      </c>
      <c r="G37" s="6">
        <v>16696.490000000002</v>
      </c>
      <c r="H37" s="6">
        <v>13280.55</v>
      </c>
      <c r="I37" s="6">
        <v>4909.16</v>
      </c>
      <c r="J37" s="6">
        <v>8331.67</v>
      </c>
      <c r="K37" s="6">
        <v>8184.79</v>
      </c>
      <c r="L37" s="6">
        <v>1291.57</v>
      </c>
      <c r="M37" s="6">
        <v>3415.94</v>
      </c>
      <c r="N37" s="4">
        <v>663.4</v>
      </c>
      <c r="O37" s="4">
        <v>15602.01</v>
      </c>
      <c r="P37" s="4">
        <v>-917.94</v>
      </c>
      <c r="Q37" s="6">
        <v>815.98</v>
      </c>
      <c r="R37" s="6">
        <v>-1733.92</v>
      </c>
      <c r="S37" s="1"/>
    </row>
    <row r="38" spans="1:21" x14ac:dyDescent="0.3">
      <c r="A38" s="4" t="s">
        <v>13</v>
      </c>
      <c r="B38" s="4">
        <v>2022</v>
      </c>
      <c r="C38" s="4">
        <v>4390.67</v>
      </c>
      <c r="D38" s="6">
        <v>2749.87</v>
      </c>
      <c r="E38" s="6">
        <v>2007.01</v>
      </c>
      <c r="F38" s="6">
        <v>756.82</v>
      </c>
      <c r="G38" s="6">
        <v>26919.1</v>
      </c>
      <c r="H38" s="6">
        <v>21866.09</v>
      </c>
      <c r="I38" s="6">
        <v>7708.82</v>
      </c>
      <c r="J38" s="6">
        <v>12887.63</v>
      </c>
      <c r="K38" s="6">
        <v>13906.3</v>
      </c>
      <c r="L38" s="4">
        <v>1642.36</v>
      </c>
      <c r="M38" s="4">
        <v>5053.01</v>
      </c>
      <c r="N38" s="4">
        <v>940.22</v>
      </c>
      <c r="O38" s="4">
        <v>18769.12</v>
      </c>
      <c r="P38" s="4">
        <v>-1575.19</v>
      </c>
      <c r="Q38" s="6">
        <v>969.83</v>
      </c>
      <c r="R38" s="4">
        <v>-2545.02</v>
      </c>
    </row>
    <row r="39" spans="1:21" x14ac:dyDescent="0.3">
      <c r="A39" s="4" t="s">
        <v>13</v>
      </c>
      <c r="B39" s="4">
        <v>2023</v>
      </c>
      <c r="C39" s="4">
        <v>32111.99</v>
      </c>
      <c r="D39" s="6">
        <v>4162.78</v>
      </c>
      <c r="E39" s="6">
        <v>3303.92</v>
      </c>
      <c r="F39" s="6">
        <v>1328.67</v>
      </c>
      <c r="G39" s="6">
        <v>35024.54</v>
      </c>
      <c r="H39" s="6">
        <v>29114.69</v>
      </c>
      <c r="I39" s="6">
        <v>9627.59</v>
      </c>
      <c r="J39" s="6">
        <v>17007.23</v>
      </c>
      <c r="K39" s="6">
        <v>19218.7</v>
      </c>
      <c r="L39" s="4">
        <v>1921.51</v>
      </c>
      <c r="M39" s="4">
        <v>5909.85</v>
      </c>
      <c r="N39" s="4">
        <v>1367.89</v>
      </c>
      <c r="O39" s="4">
        <v>24007.93</v>
      </c>
      <c r="P39" s="4">
        <v>-4404.83</v>
      </c>
      <c r="Q39" s="6">
        <v>1340.77</v>
      </c>
      <c r="R39" s="6">
        <v>-5745.6</v>
      </c>
      <c r="S39" s="1"/>
    </row>
    <row r="40" spans="1:21" x14ac:dyDescent="0.3">
      <c r="A40" s="4" t="s">
        <v>13</v>
      </c>
      <c r="B40" s="4">
        <v>2024</v>
      </c>
      <c r="C40" s="4">
        <v>39250.559999999998</v>
      </c>
      <c r="D40" s="6">
        <v>5605.76</v>
      </c>
      <c r="E40" s="6">
        <v>4630.6400000000003</v>
      </c>
      <c r="F40" s="6">
        <v>1686.37</v>
      </c>
      <c r="G40" s="6">
        <v>42024</v>
      </c>
      <c r="H40" s="6">
        <v>34512.89</v>
      </c>
      <c r="I40" s="6">
        <v>13133</v>
      </c>
      <c r="J40" s="4">
        <v>21520.01</v>
      </c>
      <c r="K40" s="6">
        <v>21078.21</v>
      </c>
      <c r="L40" s="4">
        <v>2248.4</v>
      </c>
      <c r="M40" s="4">
        <v>7511.11</v>
      </c>
      <c r="N40" s="6">
        <v>1927.72</v>
      </c>
      <c r="O40" s="6">
        <v>28244.769999999997</v>
      </c>
      <c r="P40" s="4">
        <v>-1252.67</v>
      </c>
      <c r="Q40" s="6">
        <v>1145.17</v>
      </c>
      <c r="R40" s="6">
        <v>-2397.84</v>
      </c>
      <c r="S40" s="1"/>
    </row>
    <row r="41" spans="1:21" x14ac:dyDescent="0.3">
      <c r="A41" s="4" t="s">
        <v>13</v>
      </c>
      <c r="B41" s="4">
        <v>2025</v>
      </c>
      <c r="C41" s="4">
        <v>44188.480000000003</v>
      </c>
      <c r="D41" s="6">
        <v>6674.07</v>
      </c>
      <c r="E41" s="6">
        <v>5628.51</v>
      </c>
      <c r="F41" s="6">
        <v>2235.56</v>
      </c>
      <c r="G41" s="6">
        <v>47650.89</v>
      </c>
      <c r="H41" s="6">
        <v>38208.620000000003</v>
      </c>
      <c r="I41" s="6">
        <v>14684.51</v>
      </c>
      <c r="J41" s="6">
        <v>25984.25</v>
      </c>
      <c r="K41" s="6">
        <v>23173.54</v>
      </c>
      <c r="L41" s="4">
        <v>2416.58</v>
      </c>
      <c r="M41" s="4">
        <v>9442.27</v>
      </c>
      <c r="N41" s="4">
        <v>2093.25</v>
      </c>
      <c r="O41" s="4">
        <v>30502.570000000003</v>
      </c>
      <c r="P41" s="4">
        <v>3502.92</v>
      </c>
      <c r="Q41" s="4">
        <v>2478.06</v>
      </c>
      <c r="R41" s="4">
        <v>1024.8599999999999</v>
      </c>
    </row>
    <row r="42" spans="1:21" x14ac:dyDescent="0.3">
      <c r="A42" s="4" t="s">
        <v>14</v>
      </c>
      <c r="B42" s="4">
        <v>2019</v>
      </c>
      <c r="C42" s="6">
        <v>16484.189999999999</v>
      </c>
      <c r="D42" s="6">
        <v>2733.18</v>
      </c>
      <c r="E42" s="6">
        <v>1925.58</v>
      </c>
      <c r="F42" s="6">
        <v>1130.5999999999999</v>
      </c>
      <c r="G42" s="4">
        <v>18441.2</v>
      </c>
      <c r="H42" s="4">
        <v>7603.73</v>
      </c>
      <c r="I42" s="6">
        <v>1054.73</v>
      </c>
      <c r="J42" s="6">
        <v>8463.7999999999993</v>
      </c>
      <c r="K42" s="4">
        <v>5464.43</v>
      </c>
      <c r="L42" s="4">
        <v>2993.2</v>
      </c>
      <c r="M42" s="4">
        <v>10837.47</v>
      </c>
      <c r="N42" s="4">
        <v>273.39999999999998</v>
      </c>
      <c r="O42" s="4">
        <v>12251.98</v>
      </c>
      <c r="P42" s="6">
        <v>1252.8499999999999</v>
      </c>
      <c r="Q42" s="6">
        <v>1963.76</v>
      </c>
      <c r="R42" s="6">
        <v>-710.91</v>
      </c>
      <c r="S42" s="1"/>
      <c r="T42" s="1"/>
      <c r="U42" s="1"/>
    </row>
    <row r="43" spans="1:21" x14ac:dyDescent="0.3">
      <c r="A43" s="4" t="s">
        <v>14</v>
      </c>
      <c r="B43" s="4">
        <v>2022</v>
      </c>
      <c r="C43" s="6">
        <v>19633.71</v>
      </c>
      <c r="D43" s="6">
        <v>2375.7800000000002</v>
      </c>
      <c r="E43" s="6">
        <v>1170.73</v>
      </c>
      <c r="F43" s="4">
        <v>669.23</v>
      </c>
      <c r="G43" s="6">
        <v>23059.74</v>
      </c>
      <c r="H43" s="6">
        <v>9027.84</v>
      </c>
      <c r="I43" s="6">
        <v>1168.08</v>
      </c>
      <c r="J43" s="6">
        <v>10263.65</v>
      </c>
      <c r="K43" s="4">
        <v>6956.73</v>
      </c>
      <c r="L43" s="4">
        <v>4129.67</v>
      </c>
      <c r="M43" s="4">
        <v>14031.9</v>
      </c>
      <c r="N43" s="6">
        <v>262.8</v>
      </c>
      <c r="O43" s="6">
        <v>15870.78</v>
      </c>
      <c r="P43" s="6">
        <v>-578.01</v>
      </c>
      <c r="Q43" s="6">
        <v>1707.01</v>
      </c>
      <c r="R43" s="6">
        <v>-2285.02</v>
      </c>
      <c r="S43" s="1"/>
      <c r="T43" s="1"/>
    </row>
    <row r="44" spans="1:21" x14ac:dyDescent="0.3">
      <c r="A44" s="4" t="s">
        <v>14</v>
      </c>
      <c r="B44" s="4">
        <v>2023</v>
      </c>
      <c r="C44" s="6">
        <v>23261.17</v>
      </c>
      <c r="D44" s="6">
        <v>2649.21</v>
      </c>
      <c r="E44" s="6">
        <v>1396.17</v>
      </c>
      <c r="F44" s="4">
        <v>768.93</v>
      </c>
      <c r="G44" s="6">
        <v>24369.41</v>
      </c>
      <c r="H44" s="6">
        <v>9661.59</v>
      </c>
      <c r="I44" s="6">
        <v>1332.2</v>
      </c>
      <c r="J44" s="6">
        <v>9241.17</v>
      </c>
      <c r="K44" s="4">
        <v>7495.32</v>
      </c>
      <c r="L44" s="4">
        <v>4141.05</v>
      </c>
      <c r="M44" s="4">
        <v>14707.82</v>
      </c>
      <c r="N44" s="4">
        <v>326.45</v>
      </c>
      <c r="O44" s="6">
        <v>18517.920000000002</v>
      </c>
      <c r="P44" s="6">
        <v>2755.47</v>
      </c>
      <c r="Q44" s="6">
        <v>3291.24</v>
      </c>
      <c r="R44" s="6">
        <v>-535.77</v>
      </c>
      <c r="S44" s="1"/>
    </row>
    <row r="45" spans="1:21" x14ac:dyDescent="0.3">
      <c r="A45" s="4" t="s">
        <v>14</v>
      </c>
      <c r="B45" s="4">
        <v>2024</v>
      </c>
      <c r="C45" s="6">
        <v>25486.05</v>
      </c>
      <c r="D45" s="6">
        <v>4578.42</v>
      </c>
      <c r="E45" s="6">
        <v>3148.45</v>
      </c>
      <c r="F45" s="4">
        <v>2081.2199999999998</v>
      </c>
      <c r="G45" s="6">
        <v>26849.43</v>
      </c>
      <c r="H45" s="6">
        <v>10146.27</v>
      </c>
      <c r="I45" s="6">
        <v>1379.3</v>
      </c>
      <c r="J45" s="6">
        <v>10549.55</v>
      </c>
      <c r="K45" s="4">
        <v>7710.03</v>
      </c>
      <c r="L45" s="4">
        <v>4468.58</v>
      </c>
      <c r="M45" s="4">
        <v>16703.16</v>
      </c>
      <c r="N45" s="6">
        <v>361.03</v>
      </c>
      <c r="O45" s="4">
        <v>18212.16</v>
      </c>
      <c r="P45" s="4">
        <v>3303.36</v>
      </c>
      <c r="Q45" s="4">
        <v>2163.5</v>
      </c>
      <c r="R45" s="4">
        <v>1139.8599999999999</v>
      </c>
      <c r="S45" s="1"/>
    </row>
    <row r="46" spans="1:21" x14ac:dyDescent="0.3">
      <c r="A46" s="4" t="s">
        <v>14</v>
      </c>
      <c r="B46" s="4">
        <v>2025</v>
      </c>
      <c r="C46" s="4">
        <v>28561.29</v>
      </c>
      <c r="D46" s="4">
        <v>4500.32</v>
      </c>
      <c r="E46" s="4">
        <v>2846.77</v>
      </c>
      <c r="F46" s="4">
        <v>1869.28</v>
      </c>
      <c r="G46" s="4">
        <v>29566.99</v>
      </c>
      <c r="H46" s="6">
        <v>11078.35</v>
      </c>
      <c r="I46" s="6">
        <v>1129.74</v>
      </c>
      <c r="J46" s="6">
        <v>13396.4</v>
      </c>
      <c r="K46" s="4">
        <v>8959.57</v>
      </c>
      <c r="L46" s="4">
        <v>5624.78</v>
      </c>
      <c r="M46" s="4">
        <v>18488.64</v>
      </c>
      <c r="N46" s="6">
        <v>367.77</v>
      </c>
      <c r="O46" s="6">
        <v>21617.16</v>
      </c>
      <c r="P46" s="6">
        <v>1867.8</v>
      </c>
      <c r="Q46" s="6">
        <v>1308.17</v>
      </c>
      <c r="R46" s="6">
        <v>559.63</v>
      </c>
      <c r="S46" s="1"/>
      <c r="T46" s="1"/>
    </row>
    <row r="47" spans="1:21" x14ac:dyDescent="0.3">
      <c r="A47" s="4" t="s">
        <v>16</v>
      </c>
      <c r="B47" s="4">
        <v>2019</v>
      </c>
      <c r="C47" s="4">
        <v>17672.080000000002</v>
      </c>
      <c r="D47" s="4">
        <v>1899.42</v>
      </c>
      <c r="E47" s="4">
        <v>1086.75</v>
      </c>
      <c r="F47" s="6">
        <v>679.83</v>
      </c>
      <c r="G47" s="4">
        <v>20150.900000000001</v>
      </c>
      <c r="H47" s="4">
        <v>10111.08</v>
      </c>
      <c r="I47" s="4">
        <v>4166.33</v>
      </c>
      <c r="J47" s="4">
        <v>5888.6</v>
      </c>
      <c r="K47" s="4">
        <v>4374.42</v>
      </c>
      <c r="L47" s="4">
        <v>3484.09</v>
      </c>
      <c r="M47" s="4">
        <v>10039.82</v>
      </c>
      <c r="N47" s="4">
        <v>198.63</v>
      </c>
      <c r="O47" s="6">
        <v>13527.09</v>
      </c>
      <c r="P47" s="6">
        <v>1071.1199999999999</v>
      </c>
      <c r="Q47" s="6">
        <v>2293.17</v>
      </c>
      <c r="R47" s="6">
        <v>-1222.05</v>
      </c>
    </row>
    <row r="48" spans="1:21" x14ac:dyDescent="0.3">
      <c r="A48" s="4" t="s">
        <v>16</v>
      </c>
      <c r="B48" s="4">
        <v>2022</v>
      </c>
      <c r="C48" s="4">
        <v>21071.16</v>
      </c>
      <c r="D48" s="4">
        <v>2712.52</v>
      </c>
      <c r="E48" s="4">
        <v>1312.85</v>
      </c>
      <c r="F48" s="6">
        <v>638.61</v>
      </c>
      <c r="G48" s="4">
        <v>27041.3</v>
      </c>
      <c r="H48" s="4">
        <v>15289.17</v>
      </c>
      <c r="I48" s="4">
        <v>5048.93</v>
      </c>
      <c r="J48" s="4">
        <v>8310.9699999999993</v>
      </c>
      <c r="K48" s="4">
        <v>8104.8</v>
      </c>
      <c r="L48" s="4">
        <v>4155.3900000000003</v>
      </c>
      <c r="M48" s="4">
        <v>11752.13</v>
      </c>
      <c r="N48" s="4">
        <v>465.16</v>
      </c>
      <c r="O48" s="6">
        <v>16368.279999999999</v>
      </c>
      <c r="P48" s="4">
        <v>2153.56</v>
      </c>
      <c r="Q48" s="6">
        <v>1846.24</v>
      </c>
      <c r="R48" s="6">
        <v>307.32</v>
      </c>
      <c r="S48" s="1"/>
    </row>
    <row r="49" spans="1:20" x14ac:dyDescent="0.3">
      <c r="A49" s="4" t="s">
        <v>16</v>
      </c>
      <c r="B49" s="4">
        <v>2023</v>
      </c>
      <c r="C49" s="4">
        <v>24632.04</v>
      </c>
      <c r="D49" s="4">
        <v>3396.95</v>
      </c>
      <c r="E49" s="4">
        <v>1977.81</v>
      </c>
      <c r="F49" s="6">
        <v>1045.8499999999999</v>
      </c>
      <c r="G49" s="4">
        <v>27281.11</v>
      </c>
      <c r="H49" s="4">
        <v>14702.91</v>
      </c>
      <c r="I49" s="4">
        <v>4404.0200000000004</v>
      </c>
      <c r="J49" s="4">
        <v>8847.65</v>
      </c>
      <c r="K49" s="4">
        <v>8004.19</v>
      </c>
      <c r="L49" s="4">
        <v>4428.46</v>
      </c>
      <c r="M49" s="4">
        <v>12578.2</v>
      </c>
      <c r="N49" s="4">
        <v>550.62</v>
      </c>
      <c r="O49" s="4">
        <v>18353.18</v>
      </c>
      <c r="P49" s="6">
        <v>2136.67</v>
      </c>
      <c r="Q49" s="6">
        <v>776.85</v>
      </c>
      <c r="R49" s="6">
        <v>1359.82</v>
      </c>
      <c r="S49" s="1"/>
    </row>
    <row r="50" spans="1:20" x14ac:dyDescent="0.3">
      <c r="A50" s="4" t="s">
        <v>16</v>
      </c>
      <c r="B50" s="4">
        <v>2024</v>
      </c>
      <c r="C50" s="4">
        <v>25531.65</v>
      </c>
      <c r="D50" s="4">
        <v>4545.0600000000004</v>
      </c>
      <c r="E50" s="4">
        <v>3067.23</v>
      </c>
      <c r="F50" s="4">
        <v>1721.86</v>
      </c>
      <c r="G50" s="4">
        <v>26874.9</v>
      </c>
      <c r="H50" s="4">
        <v>12972.71</v>
      </c>
      <c r="I50" s="4">
        <v>3386.58</v>
      </c>
      <c r="J50" s="4">
        <v>9027.7199999999993</v>
      </c>
      <c r="K50" s="4">
        <v>7043.82</v>
      </c>
      <c r="L50" s="4">
        <v>4245.7299999999996</v>
      </c>
      <c r="M50" s="4">
        <v>13902.19</v>
      </c>
      <c r="N50" s="6">
        <v>527.03</v>
      </c>
      <c r="O50" s="6">
        <v>17188.080000000002</v>
      </c>
      <c r="P50" s="6">
        <v>3439.52</v>
      </c>
      <c r="Q50" s="6">
        <v>730.42</v>
      </c>
      <c r="R50" s="6">
        <v>2709.1</v>
      </c>
    </row>
    <row r="51" spans="1:20" x14ac:dyDescent="0.3">
      <c r="A51" s="4" t="s">
        <v>16</v>
      </c>
      <c r="B51" s="4">
        <v>2025</v>
      </c>
      <c r="C51" s="4">
        <v>26222.57</v>
      </c>
      <c r="D51" s="4">
        <v>3515.48</v>
      </c>
      <c r="E51" s="4">
        <v>2017.11</v>
      </c>
      <c r="F51" s="4">
        <v>1121.33</v>
      </c>
      <c r="G51" s="4">
        <v>27226.7</v>
      </c>
      <c r="H51" s="4">
        <v>12461</v>
      </c>
      <c r="I51" s="4">
        <v>2616.83</v>
      </c>
      <c r="J51" s="4">
        <v>9815.34</v>
      </c>
      <c r="K51" s="4">
        <v>7360.3</v>
      </c>
      <c r="L51" s="4">
        <v>5131.16</v>
      </c>
      <c r="M51" s="4">
        <v>14765.7</v>
      </c>
      <c r="N51" s="4">
        <v>470.45</v>
      </c>
      <c r="O51" s="6">
        <v>19285.7</v>
      </c>
      <c r="P51" s="6">
        <v>1823.14</v>
      </c>
      <c r="Q51" s="6">
        <v>768.61</v>
      </c>
      <c r="R51" s="6">
        <v>1054.53</v>
      </c>
    </row>
    <row r="52" spans="1:20" x14ac:dyDescent="0.3">
      <c r="G52" s="1"/>
      <c r="H52" s="1"/>
      <c r="I52" s="1"/>
      <c r="J52" s="1"/>
      <c r="K52" s="1"/>
      <c r="P52" s="1"/>
      <c r="Q52" s="1"/>
      <c r="R52" s="1"/>
      <c r="S52" s="1"/>
    </row>
    <row r="53" spans="1:20" x14ac:dyDescent="0.3">
      <c r="G53" s="1"/>
      <c r="H53" s="1"/>
      <c r="I53" s="1"/>
      <c r="J53" s="1"/>
      <c r="K53" s="1"/>
      <c r="P53" s="1"/>
    </row>
    <row r="54" spans="1:20" x14ac:dyDescent="0.3">
      <c r="E54" s="1"/>
      <c r="F54" s="1"/>
      <c r="G54" s="1"/>
      <c r="H54" s="1"/>
      <c r="I54" s="1"/>
      <c r="J54" s="1"/>
      <c r="K54" s="1"/>
      <c r="O54" s="1"/>
      <c r="P54" s="1"/>
      <c r="Q54" s="1"/>
      <c r="R54" s="1"/>
      <c r="S54" s="1"/>
    </row>
    <row r="55" spans="1:20" x14ac:dyDescent="0.3">
      <c r="E55" s="1"/>
      <c r="F55" s="1"/>
      <c r="G55" s="1"/>
      <c r="H55" s="1"/>
      <c r="I55" s="1"/>
      <c r="J55" s="1"/>
      <c r="K55" s="1"/>
    </row>
    <row r="56" spans="1:20" x14ac:dyDescent="0.3">
      <c r="E56" s="1"/>
      <c r="F56" s="1"/>
      <c r="G56" s="1"/>
      <c r="H56" s="1"/>
      <c r="I56" s="1"/>
      <c r="J56" s="1"/>
      <c r="K56" s="1"/>
      <c r="O56" s="1"/>
      <c r="P56" s="1"/>
      <c r="Q56" s="1"/>
      <c r="R56" s="1"/>
      <c r="S56" s="1"/>
      <c r="T56" s="1"/>
    </row>
    <row r="57" spans="1:20" x14ac:dyDescent="0.3">
      <c r="G57" s="1"/>
      <c r="H57" s="1"/>
      <c r="I57" s="1"/>
      <c r="J57" s="1"/>
      <c r="K57" s="1"/>
      <c r="O57" s="1"/>
      <c r="P57" s="1"/>
      <c r="Q57" s="1"/>
      <c r="R57" s="1"/>
    </row>
    <row r="58" spans="1:20" x14ac:dyDescent="0.3">
      <c r="G58" s="1"/>
      <c r="H58" s="1"/>
      <c r="I58" s="1"/>
      <c r="J58" s="1"/>
      <c r="K5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95F7-B511-4B5B-B040-F6870D5B23B1}">
  <dimension ref="A1:O61"/>
  <sheetViews>
    <sheetView showGridLines="0" workbookViewId="0">
      <pane ySplit="1" topLeftCell="A2" activePane="bottomLeft" state="frozen"/>
      <selection pane="bottomLeft" activeCell="C1" sqref="C1:N1"/>
    </sheetView>
  </sheetViews>
  <sheetFormatPr defaultRowHeight="14.4" x14ac:dyDescent="0.3"/>
  <cols>
    <col min="1" max="1" width="18.88671875" customWidth="1"/>
    <col min="2" max="2" width="5.109375" bestFit="1" customWidth="1"/>
    <col min="3" max="3" width="17.44140625" bestFit="1" customWidth="1"/>
    <col min="4" max="4" width="6.6640625" customWidth="1"/>
    <col min="6" max="6" width="14.6640625" bestFit="1" customWidth="1"/>
    <col min="7" max="7" width="17.5546875" bestFit="1" customWidth="1"/>
    <col min="8" max="8" width="15.5546875" customWidth="1"/>
    <col min="9" max="9" width="13.6640625" bestFit="1" customWidth="1"/>
    <col min="10" max="10" width="11.77734375" bestFit="1" customWidth="1"/>
    <col min="11" max="11" width="15.109375" bestFit="1" customWidth="1"/>
    <col min="12" max="12" width="19.109375" bestFit="1" customWidth="1"/>
    <col min="13" max="13" width="21" bestFit="1" customWidth="1"/>
    <col min="14" max="14" width="14.77734375" bestFit="1" customWidth="1"/>
    <col min="15" max="15" width="14.88671875" bestFit="1" customWidth="1"/>
  </cols>
  <sheetData>
    <row r="1" spans="1:15" ht="15.6" x14ac:dyDescent="0.3">
      <c r="A1" s="25" t="s">
        <v>48</v>
      </c>
      <c r="B1" s="25" t="s">
        <v>21</v>
      </c>
      <c r="C1" s="25" t="s">
        <v>37</v>
      </c>
      <c r="D1" s="25" t="s">
        <v>38</v>
      </c>
      <c r="E1" s="25" t="s">
        <v>39</v>
      </c>
      <c r="F1" s="25" t="s">
        <v>40</v>
      </c>
      <c r="G1" s="25" t="s">
        <v>41</v>
      </c>
      <c r="H1" s="25" t="s">
        <v>46</v>
      </c>
      <c r="I1" s="25" t="s">
        <v>42</v>
      </c>
      <c r="J1" s="25" t="s">
        <v>43</v>
      </c>
      <c r="K1" s="25" t="s">
        <v>44</v>
      </c>
      <c r="L1" s="25" t="s">
        <v>45</v>
      </c>
      <c r="M1" s="25" t="s">
        <v>50</v>
      </c>
      <c r="N1" s="25" t="s">
        <v>47</v>
      </c>
      <c r="O1" s="7"/>
    </row>
    <row r="2" spans="1:15" x14ac:dyDescent="0.3">
      <c r="A2" s="4" t="s">
        <v>0</v>
      </c>
      <c r="B2" s="4">
        <v>2019</v>
      </c>
      <c r="C2" s="4">
        <v>8.6152290118464897E-2</v>
      </c>
      <c r="D2" s="4">
        <v>0.1623678350743053</v>
      </c>
      <c r="E2" s="4">
        <v>0.11957566747487444</v>
      </c>
      <c r="F2" s="4">
        <v>1.6981640723672621E-4</v>
      </c>
      <c r="G2" s="4">
        <v>180.77075098814228</v>
      </c>
      <c r="H2" s="4">
        <v>1.2506116272489515E-4</v>
      </c>
      <c r="I2" s="4">
        <v>0.87374739592528516</v>
      </c>
      <c r="J2" s="4">
        <v>0.63910878853147846</v>
      </c>
      <c r="K2" s="4">
        <v>1.3879569226824995</v>
      </c>
      <c r="L2" s="4">
        <v>19.110004213567688</v>
      </c>
      <c r="M2" s="4">
        <v>825.11249999999995</v>
      </c>
      <c r="N2" s="4"/>
    </row>
    <row r="3" spans="1:15" x14ac:dyDescent="0.3">
      <c r="A3" s="4" t="s">
        <v>0</v>
      </c>
      <c r="B3" s="4">
        <v>2022</v>
      </c>
      <c r="C3" s="4">
        <v>4.2992628252013602E-2</v>
      </c>
      <c r="D3" s="4">
        <v>7.011123460471505E-2</v>
      </c>
      <c r="E3" s="4">
        <v>0.83331543335839331</v>
      </c>
      <c r="F3" s="4">
        <v>5.9457652235987235E-4</v>
      </c>
      <c r="G3" s="4">
        <v>60.132701421800952</v>
      </c>
      <c r="H3" s="4">
        <v>7.0669101063258509E-3</v>
      </c>
      <c r="I3" s="4">
        <v>0.986483390607102</v>
      </c>
      <c r="J3" s="4">
        <v>0.77898786970951928</v>
      </c>
      <c r="K3" s="4">
        <v>19.38275158414778</v>
      </c>
      <c r="L3" s="4">
        <v>20.049089828157289</v>
      </c>
      <c r="M3" s="4">
        <v>55.942249240121583</v>
      </c>
      <c r="N3" s="4"/>
    </row>
    <row r="4" spans="1:15" x14ac:dyDescent="0.3">
      <c r="A4" s="4" t="s">
        <v>0</v>
      </c>
      <c r="B4" s="4">
        <v>2023</v>
      </c>
      <c r="C4" s="4">
        <v>6.8488123220234648E-2</v>
      </c>
      <c r="D4" s="4">
        <v>0.13288278446965834</v>
      </c>
      <c r="E4" s="4">
        <v>9.7060294171535846E-2</v>
      </c>
      <c r="F4" s="4">
        <v>4.0296935005413378E-4</v>
      </c>
      <c r="G4" s="4">
        <v>71.314438502673795</v>
      </c>
      <c r="H4" s="4">
        <v>2.943370265340692E-4</v>
      </c>
      <c r="I4" s="4">
        <v>0.57768074281479864</v>
      </c>
      <c r="J4" s="4">
        <v>0.36464865993942502</v>
      </c>
      <c r="K4" s="4">
        <v>1.4171843176286603</v>
      </c>
      <c r="L4" s="4">
        <v>23.562348064177691</v>
      </c>
      <c r="M4" s="4">
        <v>371.54216867469881</v>
      </c>
      <c r="N4" s="4"/>
    </row>
    <row r="5" spans="1:15" x14ac:dyDescent="0.3">
      <c r="A5" s="4" t="s">
        <v>0</v>
      </c>
      <c r="B5" s="4">
        <v>2024</v>
      </c>
      <c r="C5" s="4">
        <v>9.2254890024882741E-2</v>
      </c>
      <c r="D5" s="4">
        <v>0.15750618898594049</v>
      </c>
      <c r="E5" s="4">
        <v>0.11697936153181022</v>
      </c>
      <c r="F5" s="4">
        <v>7.9055537390816948E-4</v>
      </c>
      <c r="G5" s="4">
        <v>118.15030991735539</v>
      </c>
      <c r="H5" s="4">
        <v>5.8714304174786497E-4</v>
      </c>
      <c r="I5" s="4">
        <v>0.87214759669849495</v>
      </c>
      <c r="J5" s="4">
        <v>0.66722539477030485</v>
      </c>
      <c r="K5" s="4">
        <v>1.26800174495096</v>
      </c>
      <c r="L5" s="4">
        <v>22.382623729378437</v>
      </c>
      <c r="M5" s="4">
        <v>248.16986706056127</v>
      </c>
      <c r="N5" s="4"/>
    </row>
    <row r="6" spans="1:15" x14ac:dyDescent="0.3">
      <c r="A6" s="4" t="s">
        <v>0</v>
      </c>
      <c r="B6" s="4">
        <v>2025</v>
      </c>
      <c r="C6" s="4">
        <v>9.1669506274849211E-2</v>
      </c>
      <c r="D6" s="4">
        <v>0.15066723884792069</v>
      </c>
      <c r="E6" s="4">
        <v>0.10987397250309158</v>
      </c>
      <c r="F6" s="4">
        <v>6.0889506327417217E-4</v>
      </c>
      <c r="G6" s="4">
        <v>130.90834191555101</v>
      </c>
      <c r="H6" s="4">
        <v>4.4403627458112073E-4</v>
      </c>
      <c r="I6" s="4">
        <v>0.9657741940759883</v>
      </c>
      <c r="J6" s="4">
        <v>0.73963461507008388</v>
      </c>
      <c r="K6" s="4">
        <v>1.1985880252661185</v>
      </c>
      <c r="L6" s="4">
        <v>19.09803536827647</v>
      </c>
      <c r="M6" s="4">
        <v>275.36177474402729</v>
      </c>
      <c r="N6" s="4"/>
    </row>
    <row r="7" spans="1:15" x14ac:dyDescent="0.3">
      <c r="A7" s="8" t="s">
        <v>49</v>
      </c>
      <c r="B7" s="8"/>
      <c r="C7" s="8">
        <f>(0.7*(C6)+0.3*AVERAGE(C2:C6))</f>
        <v>8.7062100665821152E-2</v>
      </c>
      <c r="D7" s="8">
        <f>(0.7*(D6)+0.3*AVERAGE(D2:D6))</f>
        <v>0.14587918411249687</v>
      </c>
      <c r="E7" s="8">
        <f t="shared" ref="E7:M7" si="0">(0.7*(E6)+0.3*AVERAGE(E2:E6))</f>
        <v>0.15352006449454642</v>
      </c>
      <c r="F7" s="8">
        <f t="shared" si="0"/>
        <v>5.8023530730190497E-4</v>
      </c>
      <c r="G7" s="8">
        <f t="shared" si="0"/>
        <v>125.3124319056171</v>
      </c>
      <c r="H7" s="8">
        <f t="shared" si="0"/>
        <v>8.2187464892161262E-4</v>
      </c>
      <c r="I7" s="8">
        <f t="shared" si="0"/>
        <v>0.93259193506049187</v>
      </c>
      <c r="J7" s="8">
        <f t="shared" si="0"/>
        <v>0.7091205502303074</v>
      </c>
      <c r="K7" s="8">
        <f t="shared" si="0"/>
        <v>2.3182805733668443</v>
      </c>
      <c r="L7" s="8">
        <f t="shared" si="0"/>
        <v>19.620750830006983</v>
      </c>
      <c r="M7" s="8">
        <f t="shared" si="0"/>
        <v>299.32095590398364</v>
      </c>
      <c r="N7" s="8">
        <v>0.20574586111618398</v>
      </c>
    </row>
    <row r="8" spans="1:15" x14ac:dyDescent="0.3">
      <c r="A8" s="4" t="s">
        <v>7</v>
      </c>
      <c r="B8" s="4">
        <v>2019</v>
      </c>
      <c r="C8" s="4">
        <v>-9.4425330341070701E-2</v>
      </c>
      <c r="D8" s="4">
        <v>-0.47487620797916136</v>
      </c>
      <c r="E8" s="4">
        <v>-9.4294736380013192E-2</v>
      </c>
      <c r="F8" s="4">
        <v>1.169202746108817</v>
      </c>
      <c r="G8" s="4">
        <v>-0.35111311777168058</v>
      </c>
      <c r="H8" s="4">
        <v>0.23216506295037717</v>
      </c>
      <c r="I8" s="4">
        <v>0.84857239674865703</v>
      </c>
      <c r="J8" s="4">
        <v>0.58035832201902648</v>
      </c>
      <c r="K8" s="4">
        <v>0.99861696050640447</v>
      </c>
      <c r="L8" s="4">
        <v>5.872232929278999</v>
      </c>
      <c r="M8" s="4">
        <v>0.26616560761194963</v>
      </c>
      <c r="N8" s="4"/>
    </row>
    <row r="9" spans="1:15" x14ac:dyDescent="0.3">
      <c r="A9" s="4" t="s">
        <v>7</v>
      </c>
      <c r="B9" s="4">
        <v>2022</v>
      </c>
      <c r="C9" s="4">
        <v>-4.0627695366942745E-2</v>
      </c>
      <c r="D9" s="4">
        <v>-0.23430127190404709</v>
      </c>
      <c r="E9" s="4">
        <v>-3.4770006055707098E-2</v>
      </c>
      <c r="F9" s="4">
        <v>2.124036959143845</v>
      </c>
      <c r="G9" s="4">
        <v>2.91500731325428</v>
      </c>
      <c r="H9" s="4">
        <v>0.31520434068416819</v>
      </c>
      <c r="I9" s="4">
        <v>0.97541013470614202</v>
      </c>
      <c r="J9" s="4">
        <v>0.7415391311059305</v>
      </c>
      <c r="K9" s="4">
        <v>0.85582029060890719</v>
      </c>
      <c r="L9" s="4">
        <v>6.0238391570569414</v>
      </c>
      <c r="M9" s="4">
        <v>0.13770351231532174</v>
      </c>
      <c r="N9" s="4"/>
    </row>
    <row r="10" spans="1:15" x14ac:dyDescent="0.3">
      <c r="A10" s="4" t="s">
        <v>7</v>
      </c>
      <c r="B10" s="4">
        <v>2023</v>
      </c>
      <c r="C10" s="4">
        <v>6.8418419347447733E-3</v>
      </c>
      <c r="D10" s="4">
        <v>4.5899477010337163E-2</v>
      </c>
      <c r="E10" s="4">
        <v>7.2138466031002133E-3</v>
      </c>
      <c r="F10" s="4">
        <v>1.8301368206662001</v>
      </c>
      <c r="G10" s="4">
        <v>3.7631260341812802</v>
      </c>
      <c r="H10" s="4">
        <v>0.28763565833218868</v>
      </c>
      <c r="I10" s="4">
        <v>0.97209111451509878</v>
      </c>
      <c r="J10" s="4">
        <v>0.70919946824859859</v>
      </c>
      <c r="K10" s="4">
        <v>1.0543720056533747</v>
      </c>
      <c r="L10" s="4">
        <v>7.0377451469970742</v>
      </c>
      <c r="M10" s="4">
        <v>0.36761301957215708</v>
      </c>
      <c r="N10" s="4"/>
    </row>
    <row r="11" spans="1:15" x14ac:dyDescent="0.3">
      <c r="A11" s="4" t="s">
        <v>7</v>
      </c>
      <c r="B11" s="4">
        <v>2024</v>
      </c>
      <c r="C11" s="4">
        <v>7.1297681843262725E-2</v>
      </c>
      <c r="D11" s="4">
        <v>0.33728274647130857</v>
      </c>
      <c r="E11" s="4">
        <v>8.4972166669823906E-2</v>
      </c>
      <c r="F11" s="4">
        <v>0.74998388725374354</v>
      </c>
      <c r="G11" s="4">
        <v>8.2454569396892285</v>
      </c>
      <c r="H11" s="4">
        <v>0.1889446066664682</v>
      </c>
      <c r="I11" s="4">
        <v>0.96991060731729795</v>
      </c>
      <c r="J11" s="4">
        <v>0.69465947838908859</v>
      </c>
      <c r="K11" s="4">
        <v>1.1917942417345699</v>
      </c>
      <c r="L11" s="4">
        <v>7.1942129164017778</v>
      </c>
      <c r="M11" s="4">
        <v>0.97272948624299971</v>
      </c>
      <c r="N11" s="4"/>
    </row>
    <row r="12" spans="1:15" x14ac:dyDescent="0.3">
      <c r="A12" s="4" t="s">
        <v>7</v>
      </c>
      <c r="B12" s="4">
        <v>2025</v>
      </c>
      <c r="C12" s="4">
        <v>6.1544517495848008E-2</v>
      </c>
      <c r="D12" s="4">
        <v>0.22671358978118838</v>
      </c>
      <c r="E12" s="4">
        <v>7.3824915842779185E-2</v>
      </c>
      <c r="F12" s="4">
        <v>0.38987731560682343</v>
      </c>
      <c r="G12" s="4">
        <v>13.179224867204407</v>
      </c>
      <c r="H12" s="4">
        <v>0.12695604194464855</v>
      </c>
      <c r="I12" s="4">
        <v>0.96184996760336927</v>
      </c>
      <c r="J12" s="4">
        <v>0.67826546039211921</v>
      </c>
      <c r="K12" s="4">
        <v>1.19953683685569</v>
      </c>
      <c r="L12" s="4">
        <v>6.7151288174463746</v>
      </c>
      <c r="M12" s="4">
        <v>1.3184980881338932</v>
      </c>
      <c r="N12" s="4"/>
    </row>
    <row r="13" spans="1:15" x14ac:dyDescent="0.3">
      <c r="A13" s="8" t="s">
        <v>49</v>
      </c>
      <c r="B13" s="8"/>
      <c r="C13" s="8">
        <f>(0.7*(C12)+0.3*AVERAGE(C8:C12))</f>
        <v>4.3359023181044128E-2</v>
      </c>
      <c r="D13" s="8">
        <f t="shared" ref="D13:M13" si="1">(0.7*(D12)+0.3*AVERAGE(D8:D12))</f>
        <v>0.15274261284960941</v>
      </c>
      <c r="E13" s="8">
        <f t="shared" si="1"/>
        <v>5.3894212290744405E-2</v>
      </c>
      <c r="F13" s="8">
        <f t="shared" si="1"/>
        <v>0.64870838465154224</v>
      </c>
      <c r="G13" s="8">
        <f t="shared" si="1"/>
        <v>10.890559529236535</v>
      </c>
      <c r="H13" s="8">
        <f t="shared" si="1"/>
        <v>0.15792357199592499</v>
      </c>
      <c r="I13" s="8">
        <f t="shared" si="1"/>
        <v>0.9569650305757923</v>
      </c>
      <c r="J13" s="8">
        <f t="shared" si="1"/>
        <v>0.67902713388376923</v>
      </c>
      <c r="K13" s="8">
        <f t="shared" si="1"/>
        <v>1.1576842059205197</v>
      </c>
      <c r="L13" s="8">
        <f t="shared" si="1"/>
        <v>6.6711797102433321</v>
      </c>
      <c r="M13" s="8">
        <f t="shared" si="1"/>
        <v>1.1067112445263045</v>
      </c>
      <c r="N13" s="8">
        <v>0.17099416795121836</v>
      </c>
    </row>
    <row r="14" spans="1:15" x14ac:dyDescent="0.3">
      <c r="A14" s="4" t="s">
        <v>8</v>
      </c>
      <c r="B14" s="4">
        <v>2019</v>
      </c>
      <c r="C14" s="4">
        <v>4.933503703148881E-2</v>
      </c>
      <c r="D14" s="4">
        <v>0.10995081497220542</v>
      </c>
      <c r="E14" s="4">
        <v>3.2834047795565174E-2</v>
      </c>
      <c r="F14" s="4">
        <v>0.90034312441797293</v>
      </c>
      <c r="G14" s="4">
        <v>3.5613848865344973</v>
      </c>
      <c r="H14" s="4">
        <v>0.26886484822346418</v>
      </c>
      <c r="I14" s="4">
        <v>1.1842148681788376</v>
      </c>
      <c r="J14" s="4">
        <v>0.97605415383523386</v>
      </c>
      <c r="K14" s="4">
        <v>0.66553203911873748</v>
      </c>
      <c r="L14" s="4">
        <v>6.0606074018701399</v>
      </c>
      <c r="M14" s="4">
        <v>-9.9877613858513167E-2</v>
      </c>
      <c r="N14" s="4"/>
    </row>
    <row r="15" spans="1:15" x14ac:dyDescent="0.3">
      <c r="A15" s="4" t="s">
        <v>8</v>
      </c>
      <c r="B15" s="4">
        <v>2022</v>
      </c>
      <c r="C15" s="4">
        <v>7.0311655655772076E-2</v>
      </c>
      <c r="D15" s="4">
        <v>0.11574641277488215</v>
      </c>
      <c r="E15" s="4">
        <v>3.8154055412864284E-2</v>
      </c>
      <c r="F15" s="4">
        <v>0.89850200421432302</v>
      </c>
      <c r="G15" s="4">
        <v>3.5645958091290439</v>
      </c>
      <c r="H15" s="4">
        <v>0.29617760443287139</v>
      </c>
      <c r="I15" s="4">
        <v>1.3350547084981914</v>
      </c>
      <c r="J15" s="4">
        <v>1.1290471754980118</v>
      </c>
      <c r="K15" s="4">
        <v>0.54264197105038747</v>
      </c>
      <c r="L15" s="4">
        <v>5.3116433335460531</v>
      </c>
      <c r="M15" s="4">
        <v>0.18111991532701979</v>
      </c>
      <c r="N15" s="4"/>
    </row>
    <row r="16" spans="1:15" x14ac:dyDescent="0.3">
      <c r="A16" s="4" t="s">
        <v>8</v>
      </c>
      <c r="B16" s="4">
        <v>2023</v>
      </c>
      <c r="C16" s="4">
        <v>8.0974602965333042E-2</v>
      </c>
      <c r="D16" s="4">
        <v>0.15326739126124686</v>
      </c>
      <c r="E16" s="4">
        <v>5.0329657666788243E-2</v>
      </c>
      <c r="F16" s="4">
        <v>0.86326876122411766</v>
      </c>
      <c r="G16" s="4">
        <v>4.159174571590305</v>
      </c>
      <c r="H16" s="4">
        <v>0.28347857211704169</v>
      </c>
      <c r="I16" s="4">
        <v>1.293938841370309</v>
      </c>
      <c r="J16" s="4">
        <v>1.0551302426585885</v>
      </c>
      <c r="K16" s="4">
        <v>0.62154868098995741</v>
      </c>
      <c r="L16" s="4">
        <v>6.0826641369185168</v>
      </c>
      <c r="M16" s="4">
        <v>-0.12215564560733927</v>
      </c>
      <c r="N16" s="4"/>
    </row>
    <row r="17" spans="1:14" x14ac:dyDescent="0.3">
      <c r="A17" s="4" t="s">
        <v>8</v>
      </c>
      <c r="B17" s="4">
        <v>2024</v>
      </c>
      <c r="C17" s="4">
        <v>7.91469805470187E-2</v>
      </c>
      <c r="D17" s="4">
        <v>0.1416885250003552</v>
      </c>
      <c r="E17" s="4">
        <v>4.8008505731083964E-2</v>
      </c>
      <c r="F17" s="4">
        <v>0.88686861625274238</v>
      </c>
      <c r="G17" s="4">
        <v>3.7645552141299454</v>
      </c>
      <c r="H17" s="4">
        <v>0.30049883747453476</v>
      </c>
      <c r="I17" s="4">
        <v>1.3007451785774562</v>
      </c>
      <c r="J17" s="4">
        <v>1.0546625781894789</v>
      </c>
      <c r="K17" s="4">
        <v>0.60657406510364142</v>
      </c>
      <c r="L17" s="4">
        <v>5.4420049518358358</v>
      </c>
      <c r="M17" s="4">
        <v>-7.9819393903133556E-2</v>
      </c>
      <c r="N17" s="4"/>
    </row>
    <row r="18" spans="1:14" x14ac:dyDescent="0.3">
      <c r="A18" s="4" t="s">
        <v>8</v>
      </c>
      <c r="B18" s="4">
        <v>2025</v>
      </c>
      <c r="C18" s="4">
        <v>7.9354055983426916E-2</v>
      </c>
      <c r="D18" s="4">
        <v>0.13876404681299689</v>
      </c>
      <c r="E18" s="4">
        <v>4.684233172070492E-2</v>
      </c>
      <c r="F18" s="4">
        <v>0.88949684818403385</v>
      </c>
      <c r="G18" s="4">
        <v>3.7691500640179498</v>
      </c>
      <c r="H18" s="4">
        <v>0.30026586413488404</v>
      </c>
      <c r="I18" s="4">
        <v>1.4013557714227132</v>
      </c>
      <c r="J18" s="4">
        <v>1.1762619100261387</v>
      </c>
      <c r="K18" s="4">
        <v>0.59029536852518205</v>
      </c>
      <c r="L18" s="4">
        <v>5.5349201210645038</v>
      </c>
      <c r="M18" s="4">
        <v>3.8319405318680028E-2</v>
      </c>
      <c r="N18" s="4"/>
    </row>
    <row r="19" spans="1:14" x14ac:dyDescent="0.3">
      <c r="A19" s="8" t="s">
        <v>49</v>
      </c>
      <c r="B19" s="8"/>
      <c r="C19" s="8">
        <f>(0.7*(C18)+0.3*AVERAGE(C14:C18))</f>
        <v>7.7095179119381213E-2</v>
      </c>
      <c r="D19" s="8">
        <f t="shared" ref="D19:M19" si="2">(0.7*(D18)+0.3*AVERAGE(D14:D18))</f>
        <v>0.13669986421839903</v>
      </c>
      <c r="E19" s="8">
        <f t="shared" si="2"/>
        <v>4.5759748104113838E-2</v>
      </c>
      <c r="F19" s="8">
        <f t="shared" si="2"/>
        <v>0.8889565549864149</v>
      </c>
      <c r="G19" s="8">
        <f t="shared" si="2"/>
        <v>3.7675366775366692</v>
      </c>
      <c r="H19" s="8">
        <f t="shared" si="2"/>
        <v>0.2971432484773866</v>
      </c>
      <c r="I19" s="8">
        <f t="shared" si="2"/>
        <v>1.3718676020787495</v>
      </c>
      <c r="J19" s="8">
        <f t="shared" si="2"/>
        <v>1.1468527006307441</v>
      </c>
      <c r="K19" s="8">
        <f t="shared" si="2"/>
        <v>0.59480228545490177</v>
      </c>
      <c r="L19" s="8">
        <f t="shared" si="2"/>
        <v>5.5803544814592545</v>
      </c>
      <c r="M19" s="8">
        <f t="shared" si="2"/>
        <v>2.1878783759678846E-2</v>
      </c>
      <c r="N19" s="8">
        <v>0.14781330970314466</v>
      </c>
    </row>
    <row r="20" spans="1:14" x14ac:dyDescent="0.3">
      <c r="A20" s="4" t="s">
        <v>9</v>
      </c>
      <c r="B20" s="4">
        <v>2019</v>
      </c>
      <c r="C20" s="4">
        <v>6.1507697560966947E-2</v>
      </c>
      <c r="D20" s="4">
        <v>0.21166644943710389</v>
      </c>
      <c r="E20" s="4">
        <v>5.3128897703805175E-2</v>
      </c>
      <c r="F20" s="4">
        <v>1.3247252724873328</v>
      </c>
      <c r="G20" s="4">
        <v>3.3612871445308339</v>
      </c>
      <c r="H20" s="4">
        <v>0.33250991678082892</v>
      </c>
      <c r="I20" s="4">
        <v>1.0764273623029581</v>
      </c>
      <c r="J20" s="4">
        <v>0.87568045349432644</v>
      </c>
      <c r="K20" s="4">
        <v>0.86377640215102125</v>
      </c>
      <c r="L20" s="4">
        <v>8.2782330653599434</v>
      </c>
      <c r="M20" s="4">
        <v>-0.28790090432870985</v>
      </c>
      <c r="N20" s="4"/>
    </row>
    <row r="21" spans="1:14" x14ac:dyDescent="0.3">
      <c r="A21" s="4" t="s">
        <v>9</v>
      </c>
      <c r="B21" s="4">
        <v>2022</v>
      </c>
      <c r="C21" s="4">
        <v>-1.3410222447921848E-2</v>
      </c>
      <c r="D21" s="4">
        <v>-4.174660309004722E-2</v>
      </c>
      <c r="E21" s="4">
        <v>-8.2299738488742624E-3</v>
      </c>
      <c r="F21" s="4">
        <v>1.7994856906041332</v>
      </c>
      <c r="G21" s="4">
        <v>1.3565287177978118</v>
      </c>
      <c r="H21" s="4">
        <v>0.35475270031314798</v>
      </c>
      <c r="I21" s="4">
        <v>1.001203272471382</v>
      </c>
      <c r="J21" s="4">
        <v>0.86473122438345706</v>
      </c>
      <c r="K21" s="4">
        <v>0.61370897319825168</v>
      </c>
      <c r="L21" s="4">
        <v>8.0262541575643063</v>
      </c>
      <c r="M21" s="4">
        <v>0.18402017871802517</v>
      </c>
      <c r="N21" s="4"/>
    </row>
    <row r="22" spans="1:14" x14ac:dyDescent="0.3">
      <c r="A22" s="4" t="s">
        <v>9</v>
      </c>
      <c r="B22" s="4">
        <v>2023</v>
      </c>
      <c r="C22" s="4">
        <v>2.9146577134274824E-2</v>
      </c>
      <c r="D22" s="4">
        <v>0.11473988519620112</v>
      </c>
      <c r="E22" s="4">
        <v>2.2646792059444653E-2</v>
      </c>
      <c r="F22" s="4">
        <v>1.8240252468318729</v>
      </c>
      <c r="G22" s="4">
        <v>2.511893957487461</v>
      </c>
      <c r="H22" s="4">
        <v>0.36001709785174418</v>
      </c>
      <c r="I22" s="4">
        <v>1.0796479172743647</v>
      </c>
      <c r="J22" s="4">
        <v>0.92643314725706349</v>
      </c>
      <c r="K22" s="4">
        <v>0.77699662485627619</v>
      </c>
      <c r="L22" s="4">
        <v>11.041745667098034</v>
      </c>
      <c r="M22" s="4">
        <v>-0.22848358938707067</v>
      </c>
      <c r="N22" s="4"/>
    </row>
    <row r="23" spans="1:14" x14ac:dyDescent="0.3">
      <c r="A23" s="4" t="s">
        <v>9</v>
      </c>
      <c r="B23" s="4">
        <v>2024</v>
      </c>
      <c r="C23" s="4">
        <v>5.3104452527118658E-2</v>
      </c>
      <c r="D23" s="4">
        <v>0.21020788702781898</v>
      </c>
      <c r="E23" s="4">
        <v>3.6741119291025637E-2</v>
      </c>
      <c r="F23" s="4">
        <v>2.2723530820790225</v>
      </c>
      <c r="G23" s="4">
        <v>2.6877726548746752</v>
      </c>
      <c r="H23" s="4">
        <v>0.3971725173610931</v>
      </c>
      <c r="I23" s="4">
        <v>1.0917022645861514</v>
      </c>
      <c r="J23" s="4">
        <v>0.94147660807206013</v>
      </c>
      <c r="K23" s="4">
        <v>0.69186513639818026</v>
      </c>
      <c r="L23" s="4">
        <v>9.0799012947677635</v>
      </c>
      <c r="M23" s="4">
        <v>-0.23309861987892838</v>
      </c>
      <c r="N23" s="4"/>
    </row>
    <row r="24" spans="1:14" x14ac:dyDescent="0.3">
      <c r="A24" s="4" t="s">
        <v>9</v>
      </c>
      <c r="B24" s="4">
        <v>2025</v>
      </c>
      <c r="C24" s="4">
        <v>6.2165578382194255E-2</v>
      </c>
      <c r="D24" s="4">
        <v>0.19607620389198768</v>
      </c>
      <c r="E24" s="4">
        <v>3.8098596981273589E-2</v>
      </c>
      <c r="F24" s="4">
        <v>2.3078979555515162</v>
      </c>
      <c r="G24" s="4">
        <v>2.4459736248190302</v>
      </c>
      <c r="H24" s="4">
        <v>0.44843623212380795</v>
      </c>
      <c r="I24" s="4">
        <v>1.2895803093313889</v>
      </c>
      <c r="J24" s="4">
        <v>1.1394537249552377</v>
      </c>
      <c r="K24" s="4">
        <v>0.61285679266174031</v>
      </c>
      <c r="L24" s="4">
        <v>8.5001469835841235</v>
      </c>
      <c r="M24" s="4">
        <v>3.5131501802653227E-3</v>
      </c>
      <c r="N24" s="4"/>
    </row>
    <row r="25" spans="1:14" x14ac:dyDescent="0.3">
      <c r="A25" s="8" t="s">
        <v>49</v>
      </c>
      <c r="B25" s="8"/>
      <c r="C25" s="8">
        <f>(0.7*(C24)+0.3*AVERAGE(C20:C24))</f>
        <v>5.5066749856933946E-2</v>
      </c>
      <c r="D25" s="8">
        <f t="shared" ref="D25:M25" si="3">(0.7*(D24)+0.3*AVERAGE(D20:D24))</f>
        <v>0.17870997207217526</v>
      </c>
      <c r="E25" s="8">
        <f t="shared" si="3"/>
        <v>3.5212143818091998E-2</v>
      </c>
      <c r="F25" s="8">
        <f t="shared" si="3"/>
        <v>2.1872378037392939</v>
      </c>
      <c r="G25" s="8">
        <f t="shared" si="3"/>
        <v>2.4539889033439097</v>
      </c>
      <c r="H25" s="8">
        <f t="shared" si="3"/>
        <v>0.42747867035250287</v>
      </c>
      <c r="I25" s="8">
        <f t="shared" si="3"/>
        <v>1.2350198840899467</v>
      </c>
      <c r="J25" s="8">
        <f t="shared" si="3"/>
        <v>1.082484116958395</v>
      </c>
      <c r="K25" s="8">
        <f t="shared" si="3"/>
        <v>0.64255199061914636</v>
      </c>
      <c r="L25" s="8">
        <f t="shared" si="3"/>
        <v>8.6456797586113368</v>
      </c>
      <c r="M25" s="8">
        <f t="shared" si="3"/>
        <v>-3.1257781955599376E-2</v>
      </c>
      <c r="N25" s="8">
        <v>0.13928835235204451</v>
      </c>
    </row>
    <row r="26" spans="1:14" x14ac:dyDescent="0.3">
      <c r="A26" s="4" t="s">
        <v>10</v>
      </c>
      <c r="B26" s="4">
        <v>2019</v>
      </c>
      <c r="C26" s="4">
        <v>0.20980678836253494</v>
      </c>
      <c r="D26" s="4">
        <v>0.24697826593950703</v>
      </c>
      <c r="E26" s="4">
        <v>0.19344541018000622</v>
      </c>
      <c r="F26" s="4">
        <v>0</v>
      </c>
      <c r="G26" s="4">
        <v>491.80081855388812</v>
      </c>
      <c r="H26" s="4">
        <v>0</v>
      </c>
      <c r="I26" s="4">
        <v>2.1045730137848198</v>
      </c>
      <c r="J26" s="4">
        <v>1.8026702129687888</v>
      </c>
      <c r="K26" s="4">
        <v>0.92201692657218914</v>
      </c>
      <c r="L26" s="4">
        <v>9.5346237645647172</v>
      </c>
      <c r="M26" s="4">
        <v>0</v>
      </c>
      <c r="N26" s="4"/>
    </row>
    <row r="27" spans="1:14" x14ac:dyDescent="0.3">
      <c r="A27" s="4" t="s">
        <v>10</v>
      </c>
      <c r="B27" s="4">
        <v>2022</v>
      </c>
      <c r="C27" s="4">
        <v>0.15525799162869949</v>
      </c>
      <c r="D27" s="4">
        <v>0.13297906091370557</v>
      </c>
      <c r="E27" s="4">
        <v>0.10387965672500887</v>
      </c>
      <c r="F27" s="4">
        <v>2.8013959390862943E-3</v>
      </c>
      <c r="G27" s="4">
        <v>142.34398296059635</v>
      </c>
      <c r="H27" s="4">
        <v>2.1883749704922541E-3</v>
      </c>
      <c r="I27" s="4">
        <v>1.9421435903462054</v>
      </c>
      <c r="J27" s="4">
        <v>1.5507660617204162</v>
      </c>
      <c r="K27" s="4">
        <v>0.66907767925684469</v>
      </c>
      <c r="L27" s="4">
        <v>6.1675026492405509</v>
      </c>
      <c r="M27" s="4">
        <v>43.234428086070217</v>
      </c>
      <c r="N27" s="4"/>
    </row>
    <row r="28" spans="1:14" x14ac:dyDescent="0.3">
      <c r="A28" s="4" t="s">
        <v>10</v>
      </c>
      <c r="B28" s="4">
        <v>2023</v>
      </c>
      <c r="C28" s="4">
        <v>0.18980280684659007</v>
      </c>
      <c r="D28" s="4">
        <v>0.19438863049923016</v>
      </c>
      <c r="E28" s="4">
        <v>0.15178636540741466</v>
      </c>
      <c r="F28" s="4">
        <v>8.7223187292031906E-3</v>
      </c>
      <c r="G28" s="4">
        <v>155.38401142041397</v>
      </c>
      <c r="H28" s="4">
        <v>6.8107329859295211E-3</v>
      </c>
      <c r="I28" s="4">
        <v>1.1387042521749347</v>
      </c>
      <c r="J28" s="4">
        <v>0.74346282979552214</v>
      </c>
      <c r="K28" s="4">
        <v>0.79970558881195808</v>
      </c>
      <c r="L28" s="4">
        <v>6.9610577066158754</v>
      </c>
      <c r="M28" s="4">
        <v>21.588221797323136</v>
      </c>
      <c r="N28" s="4"/>
    </row>
    <row r="29" spans="1:14" x14ac:dyDescent="0.3">
      <c r="A29" s="4" t="s">
        <v>10</v>
      </c>
      <c r="B29" s="4">
        <v>2024</v>
      </c>
      <c r="C29" s="4">
        <v>0.22154759551412925</v>
      </c>
      <c r="D29" s="4">
        <v>0.22171751120637634</v>
      </c>
      <c r="E29" s="4">
        <v>0.17309052555620497</v>
      </c>
      <c r="F29" s="4">
        <v>1.5041952217529771E-2</v>
      </c>
      <c r="G29" s="4">
        <v>114.98624213836477</v>
      </c>
      <c r="H29" s="4">
        <v>1.1742957967357311E-2</v>
      </c>
      <c r="I29" s="4">
        <v>1.1536567539552192</v>
      </c>
      <c r="J29" s="4">
        <v>0.7619170689276652</v>
      </c>
      <c r="K29" s="4">
        <v>0.78127918813348651</v>
      </c>
      <c r="L29" s="4">
        <v>7.0651007772273404</v>
      </c>
      <c r="M29" s="4">
        <v>13.718353964043619</v>
      </c>
      <c r="N29" s="4"/>
    </row>
    <row r="30" spans="1:14" x14ac:dyDescent="0.3">
      <c r="A30" s="4" t="s">
        <v>10</v>
      </c>
      <c r="B30" s="4">
        <v>2025</v>
      </c>
      <c r="C30" s="4">
        <v>0.22679886908109481</v>
      </c>
      <c r="D30" s="4">
        <v>0.22231081272078165</v>
      </c>
      <c r="E30" s="4">
        <v>0.17422420578772455</v>
      </c>
      <c r="F30" s="4">
        <v>1.4470459686079724E-2</v>
      </c>
      <c r="G30" s="4">
        <v>123.60581523739417</v>
      </c>
      <c r="H30" s="4">
        <v>1.1340448605875896E-2</v>
      </c>
      <c r="I30" s="4">
        <v>1.6302200301000052</v>
      </c>
      <c r="J30" s="4">
        <v>1.2636399439258472</v>
      </c>
      <c r="K30" s="4">
        <v>0.76818815937494145</v>
      </c>
      <c r="L30" s="4">
        <v>9.4650451834662572</v>
      </c>
      <c r="M30" s="4">
        <v>12.914689943862154</v>
      </c>
      <c r="N30" s="4"/>
    </row>
    <row r="31" spans="1:14" x14ac:dyDescent="0.3">
      <c r="A31" s="8" t="s">
        <v>49</v>
      </c>
      <c r="B31" s="8"/>
      <c r="C31" s="8">
        <f>(0.7*(C30)+0.3*AVERAGE(C26:C30))</f>
        <v>0.21895205144274926</v>
      </c>
      <c r="D31" s="8">
        <f t="shared" ref="D31:M31" si="4">(0.7*(D30)+0.3*AVERAGE(D26:D30))</f>
        <v>0.21672002578132318</v>
      </c>
      <c r="E31" s="8">
        <f t="shared" si="4"/>
        <v>0.16974251387078873</v>
      </c>
      <c r="F31" s="8">
        <f t="shared" si="4"/>
        <v>1.2591489374569744E-2</v>
      </c>
      <c r="G31" s="8">
        <f t="shared" si="4"/>
        <v>148.21132288481536</v>
      </c>
      <c r="H31" s="8">
        <f t="shared" si="4"/>
        <v>9.8632648958924263E-3</v>
      </c>
      <c r="I31" s="8">
        <f t="shared" si="4"/>
        <v>1.6193118794916745</v>
      </c>
      <c r="J31" s="8">
        <f t="shared" si="4"/>
        <v>1.2518953277883873</v>
      </c>
      <c r="K31" s="8">
        <f t="shared" si="4"/>
        <v>0.77414776409142427</v>
      </c>
      <c r="L31" s="8">
        <f t="shared" si="4"/>
        <v>8.9771314332932644</v>
      </c>
      <c r="M31" s="8">
        <f t="shared" si="4"/>
        <v>14.527624588181455</v>
      </c>
      <c r="N31" s="8">
        <v>0.25746334384475333</v>
      </c>
    </row>
    <row r="32" spans="1:14" x14ac:dyDescent="0.3">
      <c r="A32" s="4" t="s">
        <v>11</v>
      </c>
      <c r="B32" s="4">
        <v>2019</v>
      </c>
      <c r="C32" s="4">
        <v>0.15211550827363324</v>
      </c>
      <c r="D32" s="4">
        <v>0.21208780992535881</v>
      </c>
      <c r="E32" s="4">
        <v>0.17089338744923166</v>
      </c>
      <c r="F32" s="4">
        <v>5.3594286260287803E-3</v>
      </c>
      <c r="G32" s="4">
        <v>1612.8906249999998</v>
      </c>
      <c r="H32" s="4">
        <v>4.3184514612922545E-3</v>
      </c>
      <c r="I32" s="4">
        <v>1.4512678044556793</v>
      </c>
      <c r="J32" s="4">
        <v>1.2539856128097697</v>
      </c>
      <c r="K32" s="4">
        <v>1.1234448702088928</v>
      </c>
      <c r="L32" s="4">
        <v>24.155755010348305</v>
      </c>
      <c r="M32" s="4">
        <v>19.97157083199486</v>
      </c>
      <c r="N32" s="4"/>
    </row>
    <row r="33" spans="1:14" x14ac:dyDescent="0.3">
      <c r="A33" s="4" t="s">
        <v>11</v>
      </c>
      <c r="B33" s="4">
        <v>2022</v>
      </c>
      <c r="C33" s="4">
        <v>0.17211134493364807</v>
      </c>
      <c r="D33" s="4">
        <v>0.20649498353296722</v>
      </c>
      <c r="E33" s="4">
        <v>0.17560972692197163</v>
      </c>
      <c r="F33" s="4">
        <v>4.1115672449049991E-3</v>
      </c>
      <c r="G33" s="4">
        <v>915.71593533487305</v>
      </c>
      <c r="H33" s="4">
        <v>3.4966040760201658E-3</v>
      </c>
      <c r="I33" s="4">
        <v>2.210858483523515</v>
      </c>
      <c r="J33" s="4">
        <v>1.9484056734563293</v>
      </c>
      <c r="K33" s="4">
        <v>1.0203262718658799</v>
      </c>
      <c r="L33" s="4">
        <v>20.814670339940349</v>
      </c>
      <c r="M33" s="4">
        <v>34.187586543943965</v>
      </c>
      <c r="N33" s="4"/>
    </row>
    <row r="34" spans="1:14" x14ac:dyDescent="0.3">
      <c r="A34" s="4" t="s">
        <v>11</v>
      </c>
      <c r="B34" s="4">
        <v>2023</v>
      </c>
      <c r="C34" s="4">
        <v>0.15875981964880714</v>
      </c>
      <c r="D34" s="4">
        <v>0.20639952591058716</v>
      </c>
      <c r="E34" s="4">
        <v>0.17247644540071635</v>
      </c>
      <c r="F34" s="4">
        <v>4.2310436608421565E-3</v>
      </c>
      <c r="G34" s="4">
        <v>206.71576815995951</v>
      </c>
      <c r="H34" s="4">
        <v>3.5356446083767714E-3</v>
      </c>
      <c r="I34" s="4">
        <v>1.830936452945886</v>
      </c>
      <c r="J34" s="4">
        <v>1.5342893028303426</v>
      </c>
      <c r="K34" s="4">
        <v>1.0863985974678718</v>
      </c>
      <c r="L34" s="4">
        <v>19.919865715124228</v>
      </c>
      <c r="M34" s="4">
        <v>42.481043226273847</v>
      </c>
      <c r="N34" s="4"/>
    </row>
    <row r="35" spans="1:14" x14ac:dyDescent="0.3">
      <c r="A35" s="4" t="s">
        <v>11</v>
      </c>
      <c r="B35" s="4">
        <v>2024</v>
      </c>
      <c r="C35" s="4">
        <v>0.16550507535957798</v>
      </c>
      <c r="D35" s="4">
        <v>0.26614626816405534</v>
      </c>
      <c r="E35" s="4">
        <v>0.19592061649530076</v>
      </c>
      <c r="F35" s="4">
        <v>2.6212243313921971E-2</v>
      </c>
      <c r="G35" s="4">
        <v>173.37922465208749</v>
      </c>
      <c r="H35" s="4">
        <v>1.9295851507573385E-2</v>
      </c>
      <c r="I35" s="4">
        <v>1.2977748885464344</v>
      </c>
      <c r="J35" s="4">
        <v>1.1120189457312157</v>
      </c>
      <c r="K35" s="4">
        <v>1.1837740689803116</v>
      </c>
      <c r="L35" s="4">
        <v>20.751166866525224</v>
      </c>
      <c r="M35" s="4">
        <v>8.6385921466865128</v>
      </c>
      <c r="N35" s="4"/>
    </row>
    <row r="36" spans="1:14" x14ac:dyDescent="0.3">
      <c r="A36" s="4" t="s">
        <v>11</v>
      </c>
      <c r="B36" s="4">
        <v>2025</v>
      </c>
      <c r="C36" s="4">
        <v>0.13960120421674072</v>
      </c>
      <c r="D36" s="4">
        <v>0.2081554474086178</v>
      </c>
      <c r="E36" s="4">
        <v>0.1353675998781739</v>
      </c>
      <c r="F36" s="4">
        <v>0.17648765585591986</v>
      </c>
      <c r="G36" s="4">
        <v>28.35345847261507</v>
      </c>
      <c r="H36" s="4">
        <v>0.11477340938593146</v>
      </c>
      <c r="I36" s="4">
        <v>1.6787162427560536</v>
      </c>
      <c r="J36" s="4">
        <v>1.4993831908499882</v>
      </c>
      <c r="K36" s="4">
        <v>0.96967358295854067</v>
      </c>
      <c r="L36" s="4">
        <v>19.826038007386934</v>
      </c>
      <c r="M36" s="4">
        <v>-0.22632592530569787</v>
      </c>
      <c r="N36" s="4"/>
    </row>
    <row r="37" spans="1:14" x14ac:dyDescent="0.3">
      <c r="A37" s="8" t="s">
        <v>49</v>
      </c>
      <c r="B37" s="8"/>
      <c r="C37" s="8">
        <f>(0.7*(C36)+0.3*AVERAGE(C32:C36))</f>
        <v>0.14500642009766293</v>
      </c>
      <c r="D37" s="8">
        <f>(0.7*(D36)+0.3*AVERAGE(D32:D36))</f>
        <v>0.21166585528252763</v>
      </c>
      <c r="E37" s="8">
        <f t="shared" ref="E37:M37" si="5">(0.7*(E36)+0.3*AVERAGE(E32:E36))</f>
        <v>0.1457733864834454</v>
      </c>
      <c r="F37" s="8">
        <f t="shared" si="5"/>
        <v>0.13652547542124097</v>
      </c>
      <c r="G37" s="8">
        <f t="shared" si="5"/>
        <v>196.07072162800264</v>
      </c>
      <c r="H37" s="8">
        <f t="shared" si="5"/>
        <v>8.9066584232503659E-2</v>
      </c>
      <c r="I37" s="8">
        <f t="shared" si="5"/>
        <v>1.6832746022628915</v>
      </c>
      <c r="J37" s="8">
        <f t="shared" si="5"/>
        <v>1.4904531971356505</v>
      </c>
      <c r="K37" s="8">
        <f t="shared" si="5"/>
        <v>1.0017885515598681</v>
      </c>
      <c r="L37" s="8">
        <f t="shared" si="5"/>
        <v>20.206276361530357</v>
      </c>
      <c r="M37" s="8">
        <f t="shared" si="5"/>
        <v>6.1447198617016197</v>
      </c>
      <c r="N37" s="8">
        <v>0.17439233223062378</v>
      </c>
    </row>
    <row r="38" spans="1:14" x14ac:dyDescent="0.3">
      <c r="A38" s="4" t="s">
        <v>12</v>
      </c>
      <c r="B38" s="4">
        <v>2019</v>
      </c>
      <c r="C38" s="4">
        <v>9.9200969171598513E-2</v>
      </c>
      <c r="D38" s="4">
        <v>0.26019603339850655</v>
      </c>
      <c r="E38" s="4">
        <v>0.18612316232498718</v>
      </c>
      <c r="F38" s="4">
        <v>9.4314819907347254E-3</v>
      </c>
      <c r="G38" s="4">
        <v>155.08122646584187</v>
      </c>
      <c r="H38" s="4">
        <v>6.7465181178922159E-3</v>
      </c>
      <c r="I38" s="4">
        <v>1.9081121659809757</v>
      </c>
      <c r="J38" s="4">
        <v>1.6247193355680645</v>
      </c>
      <c r="K38" s="4">
        <v>1.8762232252290809</v>
      </c>
      <c r="L38" s="4">
        <v>22.106832168895508</v>
      </c>
      <c r="M38" s="4">
        <v>8.2688240948413974</v>
      </c>
      <c r="N38" s="4"/>
    </row>
    <row r="39" spans="1:14" x14ac:dyDescent="0.3">
      <c r="A39" s="4" t="s">
        <v>12</v>
      </c>
      <c r="B39" s="4">
        <v>2022</v>
      </c>
      <c r="C39" s="4">
        <v>7.6956675830864588E-2</v>
      </c>
      <c r="D39" s="4">
        <v>0.14485298255046986</v>
      </c>
      <c r="E39" s="4">
        <v>0.10307143883525467</v>
      </c>
      <c r="F39" s="4">
        <v>1.5735212289070755E-2</v>
      </c>
      <c r="G39" s="4">
        <v>71.576836158192094</v>
      </c>
      <c r="H39" s="4">
        <v>1.1196531424181181E-2</v>
      </c>
      <c r="I39" s="4">
        <v>1.9160799111212603</v>
      </c>
      <c r="J39" s="4">
        <v>1.649224395256659</v>
      </c>
      <c r="K39" s="4">
        <v>1.3393436985478053</v>
      </c>
      <c r="L39" s="4">
        <v>15.618740704015863</v>
      </c>
      <c r="M39" s="4">
        <v>8.3586300063572789</v>
      </c>
      <c r="N39" s="4"/>
    </row>
    <row r="40" spans="1:14" x14ac:dyDescent="0.3">
      <c r="A40" s="4" t="s">
        <v>12</v>
      </c>
      <c r="B40" s="4">
        <v>2023</v>
      </c>
      <c r="C40" s="4">
        <v>8.0907559637782359E-2</v>
      </c>
      <c r="D40" s="4">
        <v>0.16745259266189647</v>
      </c>
      <c r="E40" s="4">
        <v>0.11748783189217056</v>
      </c>
      <c r="F40" s="4">
        <v>1.4287902182456796E-2</v>
      </c>
      <c r="G40" s="4">
        <v>44.487890922959579</v>
      </c>
      <c r="H40" s="4">
        <v>1.0024656071426928E-2</v>
      </c>
      <c r="I40" s="4">
        <v>1.5692543350486143</v>
      </c>
      <c r="J40" s="4">
        <v>1.2771370883242246</v>
      </c>
      <c r="K40" s="4">
        <v>1.4521242813175383</v>
      </c>
      <c r="L40" s="4">
        <v>16.397627601585729</v>
      </c>
      <c r="M40" s="4">
        <v>10.901901901901903</v>
      </c>
      <c r="N40" s="4"/>
    </row>
    <row r="41" spans="1:14" x14ac:dyDescent="0.3">
      <c r="A41" s="4" t="s">
        <v>12</v>
      </c>
      <c r="B41" s="4">
        <v>2024</v>
      </c>
      <c r="C41" s="4">
        <v>9.6907965083600819E-2</v>
      </c>
      <c r="D41" s="4">
        <v>0.20997590634369093</v>
      </c>
      <c r="E41" s="4">
        <v>0.14319045883823484</v>
      </c>
      <c r="F41" s="4">
        <v>1.1165393951185815E-2</v>
      </c>
      <c r="G41" s="4">
        <v>77.568809742045303</v>
      </c>
      <c r="H41" s="4">
        <v>7.6141015929849162E-3</v>
      </c>
      <c r="I41" s="4">
        <v>1.4635227719316666</v>
      </c>
      <c r="J41" s="4">
        <v>1.2144013438568069</v>
      </c>
      <c r="K41" s="4">
        <v>1.477592256887315</v>
      </c>
      <c r="L41" s="4">
        <v>15.985473864629631</v>
      </c>
      <c r="M41" s="4">
        <v>24.722894591472905</v>
      </c>
      <c r="N41" s="4"/>
    </row>
    <row r="42" spans="1:14" x14ac:dyDescent="0.3">
      <c r="A42" s="4" t="s">
        <v>12</v>
      </c>
      <c r="B42" s="4">
        <v>2025</v>
      </c>
      <c r="C42" s="4">
        <v>0.10433025555489366</v>
      </c>
      <c r="D42" s="4">
        <v>0.22564727333258089</v>
      </c>
      <c r="E42" s="4">
        <v>0.15422439761158027</v>
      </c>
      <c r="F42" s="4">
        <v>1.0111785711156772E-2</v>
      </c>
      <c r="G42" s="4">
        <v>96.65675866949752</v>
      </c>
      <c r="H42" s="4">
        <v>6.9111584511904059E-3</v>
      </c>
      <c r="I42" s="4">
        <v>1.7969403342438048</v>
      </c>
      <c r="J42" s="4">
        <v>1.5276324976792339</v>
      </c>
      <c r="K42" s="4">
        <v>1.4782327215755229</v>
      </c>
      <c r="L42" s="4">
        <v>15.90038310110261</v>
      </c>
      <c r="M42" s="4">
        <v>21.901992762856125</v>
      </c>
      <c r="N42" s="4"/>
    </row>
    <row r="43" spans="1:14" x14ac:dyDescent="0.3">
      <c r="A43" s="8" t="s">
        <v>49</v>
      </c>
      <c r="B43" s="8"/>
      <c r="C43" s="8">
        <f>(0.7*(C42)+0.3*AVERAGE(C38:C42))</f>
        <v>0.10052938440514995</v>
      </c>
      <c r="D43" s="8">
        <f t="shared" ref="D43:M43" si="6">(0.7*(D42)+0.3*AVERAGE(D38:D42))</f>
        <v>0.2184405786300353</v>
      </c>
      <c r="E43" s="8">
        <f t="shared" si="6"/>
        <v>0.15020291569823982</v>
      </c>
      <c r="F43" s="8">
        <f t="shared" si="6"/>
        <v>1.0722156565286032E-2</v>
      </c>
      <c r="G43" s="8">
        <f t="shared" si="6"/>
        <v>94.382022386160429</v>
      </c>
      <c r="H43" s="8">
        <f t="shared" si="6"/>
        <v>7.3873888552938218E-3</v>
      </c>
      <c r="I43" s="8">
        <f t="shared" si="6"/>
        <v>1.7770928050702426</v>
      </c>
      <c r="J43" s="8">
        <f t="shared" si="6"/>
        <v>1.5069296280165629</v>
      </c>
      <c r="K43" s="8">
        <f t="shared" si="6"/>
        <v>1.4921738761163017</v>
      </c>
      <c r="L43" s="8">
        <f t="shared" si="6"/>
        <v>16.290811617185586</v>
      </c>
      <c r="M43" s="8">
        <f t="shared" si="6"/>
        <v>19.780649535445061</v>
      </c>
      <c r="N43" s="8">
        <v>6.5249913192251485E-2</v>
      </c>
    </row>
    <row r="44" spans="1:14" x14ac:dyDescent="0.3">
      <c r="A44" s="4" t="s">
        <v>13</v>
      </c>
      <c r="B44" s="4">
        <v>2019</v>
      </c>
      <c r="C44" s="4">
        <v>3.4906893649567818E-2</v>
      </c>
      <c r="D44" s="4">
        <v>0.20628875214435849</v>
      </c>
      <c r="E44" s="4">
        <v>4.2204678947491352E-2</v>
      </c>
      <c r="F44" s="4">
        <v>1.4371329707196261</v>
      </c>
      <c r="G44" s="4">
        <v>3.2981006933976484</v>
      </c>
      <c r="H44" s="4">
        <v>0.29402347439491772</v>
      </c>
      <c r="I44" s="4">
        <v>1.0179454818022209</v>
      </c>
      <c r="J44" s="4">
        <v>0.86014424316323335</v>
      </c>
      <c r="K44" s="4">
        <v>1.2090643003409698</v>
      </c>
      <c r="L44" s="4">
        <v>12.079879526467789</v>
      </c>
      <c r="M44" s="4">
        <v>-0.18698514613498035</v>
      </c>
      <c r="N44" s="4"/>
    </row>
    <row r="45" spans="1:14" x14ac:dyDescent="0.3">
      <c r="A45" s="4" t="s">
        <v>13</v>
      </c>
      <c r="B45" s="4">
        <v>2022</v>
      </c>
      <c r="C45" s="4">
        <v>0.17237004830697822</v>
      </c>
      <c r="D45" s="4">
        <v>0.14977607406278634</v>
      </c>
      <c r="E45" s="4">
        <v>2.8114610072402128E-2</v>
      </c>
      <c r="F45" s="4">
        <v>1.5255896980215751</v>
      </c>
      <c r="G45" s="4">
        <v>2.9247091106336813</v>
      </c>
      <c r="H45" s="4">
        <v>0.28636990092536524</v>
      </c>
      <c r="I45" s="4">
        <v>0.92674758922215106</v>
      </c>
      <c r="J45" s="4">
        <v>0.80864572172324767</v>
      </c>
      <c r="K45" s="4">
        <v>0.16310612167568753</v>
      </c>
      <c r="L45" s="4">
        <v>11.428139993667649</v>
      </c>
      <c r="M45" s="4">
        <v>-0.20433607218744246</v>
      </c>
      <c r="N45" s="4"/>
    </row>
    <row r="46" spans="1:14" x14ac:dyDescent="0.3">
      <c r="A46" s="4" t="s">
        <v>13</v>
      </c>
      <c r="B46" s="4">
        <v>2023</v>
      </c>
      <c r="C46" s="4">
        <v>4.1376133961177744E-2</v>
      </c>
      <c r="D46" s="4">
        <v>0.22482296504987437</v>
      </c>
      <c r="E46" s="4">
        <v>3.7935401863950245E-2</v>
      </c>
      <c r="F46" s="4">
        <v>1.6290751880335372</v>
      </c>
      <c r="G46" s="4">
        <v>3.04321253901995</v>
      </c>
      <c r="H46" s="4">
        <v>0.27488126896170512</v>
      </c>
      <c r="I46" s="4">
        <v>0.88493134291081077</v>
      </c>
      <c r="J46" s="4">
        <v>0.78495007466686084</v>
      </c>
      <c r="K46" s="4">
        <v>0.91684259093766829</v>
      </c>
      <c r="L46" s="4">
        <v>13.472954961881326</v>
      </c>
      <c r="M46" s="4">
        <v>-0.45752156043204995</v>
      </c>
      <c r="N46" s="4"/>
    </row>
    <row r="47" spans="1:14" x14ac:dyDescent="0.3">
      <c r="A47" s="4" t="s">
        <v>13</v>
      </c>
      <c r="B47" s="4">
        <v>2024</v>
      </c>
      <c r="C47" s="4">
        <v>4.2964227771527336E-2</v>
      </c>
      <c r="D47" s="4">
        <v>0.22451674918886821</v>
      </c>
      <c r="E47" s="4">
        <v>4.0128735960403575E-2</v>
      </c>
      <c r="F47" s="4">
        <v>1.7484765900113299</v>
      </c>
      <c r="G47" s="4">
        <v>2.907974187122611</v>
      </c>
      <c r="H47" s="4">
        <v>0.31251189796306872</v>
      </c>
      <c r="I47" s="4">
        <v>1.0209600340825904</v>
      </c>
      <c r="J47" s="4">
        <v>0.91429063473606142</v>
      </c>
      <c r="K47" s="4">
        <v>0.93400342661336377</v>
      </c>
      <c r="L47" s="4">
        <v>13.546944658277996</v>
      </c>
      <c r="M47" s="4">
        <v>-9.538338536511079E-2</v>
      </c>
      <c r="N47" s="4"/>
    </row>
    <row r="48" spans="1:14" x14ac:dyDescent="0.3">
      <c r="A48" s="4" t="s">
        <v>13</v>
      </c>
      <c r="B48" s="4">
        <v>2025</v>
      </c>
      <c r="C48" s="4">
        <v>5.0591466373136162E-2</v>
      </c>
      <c r="D48" s="4">
        <v>0.23676086364825405</v>
      </c>
      <c r="E48" s="4">
        <v>4.6915388149098576E-2</v>
      </c>
      <c r="F48" s="4">
        <v>1.5551885298768198</v>
      </c>
      <c r="G48" s="4">
        <v>3.1883769258330346</v>
      </c>
      <c r="H48" s="4">
        <v>0.30816864071164252</v>
      </c>
      <c r="I48" s="4">
        <v>1.1212896260131167</v>
      </c>
      <c r="J48" s="4">
        <v>1.0170077597121543</v>
      </c>
      <c r="K48" s="4">
        <v>0.92733797836724563</v>
      </c>
      <c r="L48" s="4">
        <v>13.077256494132882</v>
      </c>
      <c r="M48" s="4">
        <v>0.23854524257193466</v>
      </c>
      <c r="N48" s="4"/>
    </row>
    <row r="49" spans="1:14" x14ac:dyDescent="0.3">
      <c r="A49" s="8" t="s">
        <v>49</v>
      </c>
      <c r="B49" s="8"/>
      <c r="C49" s="8">
        <f>(0.7*(C48)+0.3*AVERAGE(C44:C48))</f>
        <v>5.5946552664938545E-2</v>
      </c>
      <c r="D49" s="8">
        <f t="shared" ref="D49:M49" si="7">(0.7*(D48)+0.3*AVERAGE(D44:D48))</f>
        <v>0.22826252879942632</v>
      </c>
      <c r="E49" s="8">
        <f t="shared" si="7"/>
        <v>4.4558700603969756E-2</v>
      </c>
      <c r="F49" s="8">
        <f t="shared" si="7"/>
        <v>1.5623597495135471</v>
      </c>
      <c r="G49" s="8">
        <f t="shared" si="7"/>
        <v>3.1536062554435391</v>
      </c>
      <c r="H49" s="8">
        <f t="shared" si="7"/>
        <v>0.30427535947555173</v>
      </c>
      <c r="I49" s="8">
        <f t="shared" si="7"/>
        <v>1.083215182651035</v>
      </c>
      <c r="J49" s="8">
        <f t="shared" si="7"/>
        <v>0.97500773783860128</v>
      </c>
      <c r="K49" s="8">
        <f t="shared" si="7"/>
        <v>0.89815784993316805</v>
      </c>
      <c r="L49" s="8">
        <f t="shared" si="7"/>
        <v>12.970390083958677</v>
      </c>
      <c r="M49" s="8">
        <f t="shared" si="7"/>
        <v>0.12464081450749531</v>
      </c>
      <c r="N49" s="8">
        <v>0.2984089318681884</v>
      </c>
    </row>
    <row r="50" spans="1:14" x14ac:dyDescent="0.3">
      <c r="A50" s="4" t="s">
        <v>14</v>
      </c>
      <c r="B50" s="4">
        <v>2019</v>
      </c>
      <c r="C50" s="4">
        <v>6.8586930871337937E-2</v>
      </c>
      <c r="D50" s="4">
        <v>0.10432324149455546</v>
      </c>
      <c r="E50" s="4">
        <v>6.1308374726156641E-2</v>
      </c>
      <c r="F50" s="4">
        <v>9.7322530073901015E-2</v>
      </c>
      <c r="G50" s="4">
        <v>9.997000731528896</v>
      </c>
      <c r="H50" s="4">
        <v>5.7194217296054485E-2</v>
      </c>
      <c r="I50" s="4">
        <v>1.5488898201642256</v>
      </c>
      <c r="J50" s="4">
        <v>1.0011291205121118</v>
      </c>
      <c r="K50" s="4">
        <v>0.8938783810164197</v>
      </c>
      <c r="L50" s="4">
        <v>4.0932714152078047</v>
      </c>
      <c r="M50" s="4">
        <v>1.1878395418732755</v>
      </c>
      <c r="N50" s="4"/>
    </row>
    <row r="51" spans="1:14" x14ac:dyDescent="0.3">
      <c r="A51" s="4" t="s">
        <v>14</v>
      </c>
      <c r="B51" s="4">
        <v>2022</v>
      </c>
      <c r="C51" s="4">
        <v>3.4085763719643412E-2</v>
      </c>
      <c r="D51" s="4">
        <v>4.7693469879346348E-2</v>
      </c>
      <c r="E51" s="4">
        <v>2.9021576132254742E-2</v>
      </c>
      <c r="F51" s="4">
        <v>8.3244606931349274E-2</v>
      </c>
      <c r="G51" s="4">
        <v>9.0402587519025879</v>
      </c>
      <c r="H51" s="4">
        <v>5.0654517353621503E-2</v>
      </c>
      <c r="I51" s="4">
        <v>1.4753555190441487</v>
      </c>
      <c r="J51" s="4">
        <v>0.88173322811148336</v>
      </c>
      <c r="K51" s="4">
        <v>0.85142807334341142</v>
      </c>
      <c r="L51" s="4">
        <v>3.8431109507539345</v>
      </c>
      <c r="M51" s="4">
        <v>-0.49483768235052394</v>
      </c>
      <c r="N51" s="4"/>
    </row>
    <row r="52" spans="1:14" x14ac:dyDescent="0.3">
      <c r="A52" s="4" t="s">
        <v>14</v>
      </c>
      <c r="B52" s="4">
        <v>2023</v>
      </c>
      <c r="C52" s="4">
        <v>3.305637678586245E-2</v>
      </c>
      <c r="D52" s="4">
        <v>5.2280351540880968E-2</v>
      </c>
      <c r="E52" s="4">
        <v>3.1553082327393234E-2</v>
      </c>
      <c r="F52" s="4">
        <v>9.0577665486795467E-2</v>
      </c>
      <c r="G52" s="4">
        <v>8.1152090672384745</v>
      </c>
      <c r="H52" s="4">
        <v>5.4666895915822342E-2</v>
      </c>
      <c r="I52" s="4">
        <v>1.2329253454155393</v>
      </c>
      <c r="J52" s="4">
        <v>0.6804405949312371</v>
      </c>
      <c r="K52" s="4">
        <v>0.95452331426981607</v>
      </c>
      <c r="L52" s="4">
        <v>4.4779462972993889</v>
      </c>
      <c r="M52" s="4">
        <v>2.068360606515538</v>
      </c>
      <c r="N52" s="4"/>
    </row>
    <row r="53" spans="1:14" x14ac:dyDescent="0.3">
      <c r="A53" s="4" t="s">
        <v>14</v>
      </c>
      <c r="B53" s="4">
        <v>2024</v>
      </c>
      <c r="C53" s="4">
        <v>8.1661144037620578E-2</v>
      </c>
      <c r="D53" s="4">
        <v>0.12460037501885869</v>
      </c>
      <c r="E53" s="4">
        <v>7.7514494721116975E-2</v>
      </c>
      <c r="F53" s="4">
        <v>8.257718898699408E-2</v>
      </c>
      <c r="G53" s="4">
        <v>12.681550009694487</v>
      </c>
      <c r="H53" s="4">
        <v>5.1371667852911584E-2</v>
      </c>
      <c r="I53" s="4">
        <v>1.3682890987454004</v>
      </c>
      <c r="J53" s="4">
        <v>0.78870899335022038</v>
      </c>
      <c r="K53" s="4">
        <v>0.94922126838446841</v>
      </c>
      <c r="L53" s="4">
        <v>4.2306487038351239</v>
      </c>
      <c r="M53" s="4">
        <v>2.3949539621547165</v>
      </c>
      <c r="N53" s="4"/>
    </row>
    <row r="54" spans="1:14" x14ac:dyDescent="0.3">
      <c r="A54" s="4" t="s">
        <v>14</v>
      </c>
      <c r="B54" s="4">
        <v>2025</v>
      </c>
      <c r="C54" s="4">
        <v>6.5448024231398505E-2</v>
      </c>
      <c r="D54" s="4">
        <v>0.10110424563407584</v>
      </c>
      <c r="E54" s="4">
        <v>6.3221856536630885E-2</v>
      </c>
      <c r="F54" s="4">
        <v>6.110454852276858E-2</v>
      </c>
      <c r="G54" s="4">
        <v>12.236778421295918</v>
      </c>
      <c r="H54" s="4">
        <v>3.8209503233166443E-2</v>
      </c>
      <c r="I54" s="4">
        <v>1.4952056850942623</v>
      </c>
      <c r="J54" s="4">
        <v>0.86740993150340917</v>
      </c>
      <c r="K54" s="4">
        <v>0.96598571582700843</v>
      </c>
      <c r="L54" s="4">
        <v>4.2834417874721593</v>
      </c>
      <c r="M54" s="4">
        <v>1.6533007594667799</v>
      </c>
      <c r="N54" s="4"/>
    </row>
    <row r="55" spans="1:14" x14ac:dyDescent="0.3">
      <c r="A55" s="8" t="s">
        <v>49</v>
      </c>
      <c r="B55" s="8"/>
      <c r="C55" s="8">
        <f>(0.7*(C54)+0.3*AVERAGE(C50:C54))</f>
        <v>6.2783911340730719E-2</v>
      </c>
      <c r="D55" s="8">
        <f t="shared" ref="D55:M55" si="8">(0.7*(D54)+0.3*AVERAGE(D50:D54))</f>
        <v>9.6573072957916117E-2</v>
      </c>
      <c r="E55" s="8">
        <f t="shared" si="8"/>
        <v>6.0012462642254766E-2</v>
      </c>
      <c r="F55" s="8">
        <f t="shared" si="8"/>
        <v>6.7662776366046506E-2</v>
      </c>
      <c r="G55" s="8">
        <f t="shared" si="8"/>
        <v>11.689992713806763</v>
      </c>
      <c r="H55" s="8">
        <f t="shared" si="8"/>
        <v>4.1872460362311091E-2</v>
      </c>
      <c r="I55" s="8">
        <f t="shared" si="8"/>
        <v>1.4738839076737982</v>
      </c>
      <c r="J55" s="8">
        <f t="shared" si="8"/>
        <v>0.86035226415689414</v>
      </c>
      <c r="K55" s="8">
        <f t="shared" si="8"/>
        <v>0.9530922062493733</v>
      </c>
      <c r="L55" s="8">
        <f t="shared" si="8"/>
        <v>4.2541144005046156</v>
      </c>
      <c r="M55" s="8">
        <f t="shared" si="8"/>
        <v>1.5658875628863329</v>
      </c>
      <c r="N55" s="8">
        <v>0.20107483883800503</v>
      </c>
    </row>
    <row r="56" spans="1:14" x14ac:dyDescent="0.3">
      <c r="A56" s="4" t="s">
        <v>16</v>
      </c>
      <c r="B56" s="4">
        <v>2019</v>
      </c>
      <c r="C56" s="4">
        <v>3.8469155866202503E-2</v>
      </c>
      <c r="D56" s="4">
        <v>6.7713365379060586E-2</v>
      </c>
      <c r="E56" s="4">
        <v>3.3736954676962319E-2</v>
      </c>
      <c r="F56" s="4">
        <v>0.41498054746001423</v>
      </c>
      <c r="G56" s="4">
        <v>9.5626038362785089</v>
      </c>
      <c r="H56" s="4">
        <v>0.20675652204119913</v>
      </c>
      <c r="I56" s="4">
        <v>1.3461441745419964</v>
      </c>
      <c r="J56" s="4">
        <v>0.54967515693509084</v>
      </c>
      <c r="K56" s="4">
        <v>0.87698713208839307</v>
      </c>
      <c r="L56" s="4">
        <v>3.8825317371250456</v>
      </c>
      <c r="M56" s="4">
        <v>0.25708957283748524</v>
      </c>
      <c r="N56" s="4"/>
    </row>
    <row r="57" spans="1:14" x14ac:dyDescent="0.3">
      <c r="A57" s="4" t="s">
        <v>16</v>
      </c>
      <c r="B57" s="4">
        <v>2022</v>
      </c>
      <c r="C57" s="4">
        <v>3.0307301543911206E-2</v>
      </c>
      <c r="D57" s="4">
        <v>5.4339936675309078E-2</v>
      </c>
      <c r="E57" s="4">
        <v>2.3616098338467457E-2</v>
      </c>
      <c r="F57" s="4">
        <v>0.42961829047159966</v>
      </c>
      <c r="G57" s="4">
        <v>5.8313698512339833</v>
      </c>
      <c r="H57" s="4">
        <v>0.1867118074944622</v>
      </c>
      <c r="I57" s="4">
        <v>1.0254380120422464</v>
      </c>
      <c r="J57" s="4">
        <v>0.51273072747014103</v>
      </c>
      <c r="K57" s="4">
        <v>0.77922141317170401</v>
      </c>
      <c r="L57" s="4">
        <v>3.9390478390716628</v>
      </c>
      <c r="M57" s="4">
        <v>0.42653790010952813</v>
      </c>
      <c r="N57" s="4"/>
    </row>
    <row r="58" spans="1:14" x14ac:dyDescent="0.3">
      <c r="A58" s="4" t="s">
        <v>16</v>
      </c>
      <c r="B58" s="4">
        <v>2023</v>
      </c>
      <c r="C58" s="4">
        <v>4.245892747819506E-2</v>
      </c>
      <c r="D58" s="4">
        <v>8.3147827193080073E-2</v>
      </c>
      <c r="E58" s="4">
        <v>3.8336050109398036E-2</v>
      </c>
      <c r="F58" s="4">
        <v>0.35013117934203625</v>
      </c>
      <c r="G58" s="4">
        <v>6.169318223093966</v>
      </c>
      <c r="H58" s="4">
        <v>0.16143111478968417</v>
      </c>
      <c r="I58" s="4">
        <v>1.1053773086346026</v>
      </c>
      <c r="J58" s="4">
        <v>0.55210958260610998</v>
      </c>
      <c r="K58" s="4">
        <v>0.90289727947286602</v>
      </c>
      <c r="L58" s="4">
        <v>4.2762117231778278</v>
      </c>
      <c r="M58" s="4">
        <v>0.48516355511555348</v>
      </c>
      <c r="N58" s="4"/>
    </row>
    <row r="59" spans="1:14" x14ac:dyDescent="0.3">
      <c r="A59" s="4" t="s">
        <v>16</v>
      </c>
      <c r="B59" s="4">
        <v>2024</v>
      </c>
      <c r="C59" s="4">
        <v>6.7440216358911384E-2</v>
      </c>
      <c r="D59" s="4">
        <v>0.12385530625031019</v>
      </c>
      <c r="E59" s="4">
        <v>6.406944770027051E-2</v>
      </c>
      <c r="F59" s="4">
        <v>0.24360046870313237</v>
      </c>
      <c r="G59" s="4">
        <v>8.6239113522949378</v>
      </c>
      <c r="H59" s="4">
        <v>0.12601274795441098</v>
      </c>
      <c r="I59" s="4">
        <v>1.2816511495183012</v>
      </c>
      <c r="J59" s="4">
        <v>0.67889156735975653</v>
      </c>
      <c r="K59" s="4">
        <v>0.95001841867318582</v>
      </c>
      <c r="L59" s="4">
        <v>3.9630397766246772</v>
      </c>
      <c r="M59" s="4">
        <v>1.0156322898026917</v>
      </c>
      <c r="N59" s="4"/>
    </row>
    <row r="60" spans="1:14" x14ac:dyDescent="0.3">
      <c r="A60" s="4" t="s">
        <v>16</v>
      </c>
      <c r="B60" s="4">
        <v>2025</v>
      </c>
      <c r="C60" s="4">
        <v>4.2762017605444465E-2</v>
      </c>
      <c r="D60" s="4">
        <v>7.5941540191118595E-2</v>
      </c>
      <c r="E60" s="4">
        <v>4.1184939783374404E-2</v>
      </c>
      <c r="F60" s="4">
        <v>0.17722356542527612</v>
      </c>
      <c r="G60" s="4">
        <v>7.4725900733340422</v>
      </c>
      <c r="H60" s="4">
        <v>9.6112639431146632E-2</v>
      </c>
      <c r="I60" s="4">
        <v>1.3335516215371657</v>
      </c>
      <c r="J60" s="4">
        <v>0.63641155931144111</v>
      </c>
      <c r="K60" s="4">
        <v>0.96311965827661816</v>
      </c>
      <c r="L60" s="4">
        <v>4.1134533944623435</v>
      </c>
      <c r="M60" s="4">
        <v>0.69669791312389429</v>
      </c>
      <c r="N60" s="4"/>
    </row>
    <row r="61" spans="1:14" x14ac:dyDescent="0.3">
      <c r="A61" s="8" t="s">
        <v>49</v>
      </c>
      <c r="B61" s="8"/>
      <c r="C61" s="8">
        <f>(0.7*(C60)+0.3*AVERAGE(C56:C60))</f>
        <v>4.3219669454971001E-2</v>
      </c>
      <c r="D61" s="8">
        <f t="shared" ref="D61:M61" si="9">(0.7*(D60)+0.3*AVERAGE(D56:D60))</f>
        <v>7.7458956675115723E-2</v>
      </c>
      <c r="E61" s="8">
        <f t="shared" si="9"/>
        <v>4.0886067284870445E-2</v>
      </c>
      <c r="F61" s="8">
        <f t="shared" si="9"/>
        <v>0.22098973888181678</v>
      </c>
      <c r="G61" s="8">
        <f t="shared" si="9"/>
        <v>7.4904006515079553</v>
      </c>
      <c r="H61" s="8">
        <f t="shared" si="9"/>
        <v>0.11390033750445683</v>
      </c>
      <c r="I61" s="8">
        <f t="shared" si="9"/>
        <v>1.2990158710524746</v>
      </c>
      <c r="J61" s="8">
        <f t="shared" si="9"/>
        <v>0.62127720713896106</v>
      </c>
      <c r="K61" s="8">
        <f t="shared" si="9"/>
        <v>0.94251839489459865</v>
      </c>
      <c r="L61" s="8">
        <f t="shared" si="9"/>
        <v>4.0898744443513335</v>
      </c>
      <c r="M61" s="8">
        <f t="shared" si="9"/>
        <v>0.66055581304607514</v>
      </c>
      <c r="N61" s="8">
        <v>0.14058904194708433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385F-0954-4FDF-A517-0C823C14552A}">
  <dimension ref="A1:M39"/>
  <sheetViews>
    <sheetView showGridLines="0" tabSelected="1" topLeftCell="A7" zoomScale="91" zoomScaleNormal="91" workbookViewId="0">
      <selection activeCell="B34" sqref="B34"/>
    </sheetView>
  </sheetViews>
  <sheetFormatPr defaultRowHeight="14.4" x14ac:dyDescent="0.3"/>
  <cols>
    <col min="1" max="1" width="19" bestFit="1" customWidth="1"/>
    <col min="2" max="2" width="17.44140625" bestFit="1" customWidth="1"/>
    <col min="3" max="3" width="20.33203125" customWidth="1"/>
    <col min="4" max="4" width="17.6640625" bestFit="1" customWidth="1"/>
    <col min="5" max="5" width="15.109375" bestFit="1" customWidth="1"/>
    <col min="6" max="6" width="17.5546875" bestFit="1" customWidth="1"/>
    <col min="7" max="7" width="15.77734375" bestFit="1" customWidth="1"/>
    <col min="8" max="8" width="13.6640625" bestFit="1" customWidth="1"/>
    <col min="9" max="9" width="11.77734375" bestFit="1" customWidth="1"/>
    <col min="10" max="10" width="15.109375" bestFit="1" customWidth="1"/>
    <col min="11" max="11" width="19.109375" bestFit="1" customWidth="1"/>
    <col min="12" max="12" width="11.44140625" bestFit="1" customWidth="1"/>
    <col min="13" max="13" width="14.88671875" bestFit="1" customWidth="1"/>
    <col min="14" max="14" width="12.88671875" bestFit="1" customWidth="1"/>
  </cols>
  <sheetData>
    <row r="1" spans="1:13" ht="15.6" x14ac:dyDescent="0.3">
      <c r="A1" s="25" t="s">
        <v>48</v>
      </c>
      <c r="B1" s="25" t="s">
        <v>37</v>
      </c>
      <c r="C1" s="25" t="s">
        <v>38</v>
      </c>
      <c r="D1" s="25" t="s">
        <v>39</v>
      </c>
      <c r="E1" s="25" t="s">
        <v>40</v>
      </c>
      <c r="F1" s="25" t="s">
        <v>41</v>
      </c>
      <c r="G1" s="25" t="s">
        <v>46</v>
      </c>
      <c r="H1" s="25" t="s">
        <v>42</v>
      </c>
      <c r="I1" s="25" t="s">
        <v>43</v>
      </c>
      <c r="J1" s="25" t="s">
        <v>44</v>
      </c>
      <c r="K1" s="25" t="s">
        <v>45</v>
      </c>
      <c r="L1" s="25" t="s">
        <v>50</v>
      </c>
      <c r="M1" s="25" t="s">
        <v>47</v>
      </c>
    </row>
    <row r="2" spans="1:13" x14ac:dyDescent="0.3">
      <c r="A2" s="4" t="s">
        <v>0</v>
      </c>
      <c r="B2" s="4">
        <v>8.7062100665821198</v>
      </c>
      <c r="C2" s="4">
        <v>14.587918411249687</v>
      </c>
      <c r="D2" s="4">
        <v>15.352006449454642</v>
      </c>
      <c r="E2" s="4">
        <v>5.8023530730190497E-4</v>
      </c>
      <c r="F2" s="4">
        <v>125.3124319056171</v>
      </c>
      <c r="G2" s="4">
        <v>8.2187464892161262E-4</v>
      </c>
      <c r="H2" s="4">
        <v>0.93259193506049187</v>
      </c>
      <c r="I2" s="4">
        <v>0.7091205502303074</v>
      </c>
      <c r="J2" s="4">
        <v>2.3182805733668443</v>
      </c>
      <c r="K2" s="4">
        <v>19.620750830006983</v>
      </c>
      <c r="L2" s="4">
        <v>299.32095590398364</v>
      </c>
      <c r="M2" s="4">
        <v>20.574586111618398</v>
      </c>
    </row>
    <row r="3" spans="1:13" x14ac:dyDescent="0.3">
      <c r="A3" s="4" t="s">
        <v>7</v>
      </c>
      <c r="B3" s="4">
        <v>4.335902318104413</v>
      </c>
      <c r="C3" s="4">
        <v>15.274261284960941</v>
      </c>
      <c r="D3" s="4">
        <v>5.3894212290744408</v>
      </c>
      <c r="E3" s="4">
        <v>0.64870838465154224</v>
      </c>
      <c r="F3" s="4">
        <v>10.890559529236535</v>
      </c>
      <c r="G3" s="4">
        <v>0.15792357199592499</v>
      </c>
      <c r="H3" s="4">
        <v>0.9569650305757923</v>
      </c>
      <c r="I3" s="4">
        <v>0.67902713388376923</v>
      </c>
      <c r="J3" s="4">
        <v>1.1576842059205197</v>
      </c>
      <c r="K3" s="4">
        <v>6.6711797102433321</v>
      </c>
      <c r="L3" s="4">
        <v>1.1067112445263045</v>
      </c>
      <c r="M3" s="4">
        <v>17.099416795121837</v>
      </c>
    </row>
    <row r="4" spans="1:13" x14ac:dyDescent="0.3">
      <c r="A4" s="4" t="s">
        <v>8</v>
      </c>
      <c r="B4" s="4">
        <v>7.7095179119381214</v>
      </c>
      <c r="C4" s="4">
        <v>13.669986421839903</v>
      </c>
      <c r="D4" s="4">
        <v>4.5759748104113838</v>
      </c>
      <c r="E4" s="4">
        <v>0.8889565549864149</v>
      </c>
      <c r="F4" s="4">
        <v>3.7675366775366692</v>
      </c>
      <c r="G4" s="4">
        <v>0.2971432484773866</v>
      </c>
      <c r="H4" s="4">
        <v>1.3718676020787495</v>
      </c>
      <c r="I4" s="4">
        <v>1.1468527006307441</v>
      </c>
      <c r="J4" s="4">
        <v>0.59480228545490177</v>
      </c>
      <c r="K4" s="4">
        <v>5.5803544814592545</v>
      </c>
      <c r="L4" s="4">
        <v>2.1878783759678846E-2</v>
      </c>
      <c r="M4" s="4">
        <v>14.781330970314466</v>
      </c>
    </row>
    <row r="5" spans="1:13" x14ac:dyDescent="0.3">
      <c r="A5" s="4" t="s">
        <v>9</v>
      </c>
      <c r="B5" s="4">
        <v>5.5066749856933948</v>
      </c>
      <c r="C5" s="4">
        <v>17.870997207217528</v>
      </c>
      <c r="D5" s="4">
        <v>3.5212143818091999</v>
      </c>
      <c r="E5" s="4">
        <v>2.1872378037392939</v>
      </c>
      <c r="F5" s="4">
        <v>2.4539889033439097</v>
      </c>
      <c r="G5" s="4">
        <v>0.42747867035250287</v>
      </c>
      <c r="H5" s="4">
        <v>1.2350198840899467</v>
      </c>
      <c r="I5" s="4">
        <v>1.082484116958395</v>
      </c>
      <c r="J5" s="4">
        <v>0.64255199061914636</v>
      </c>
      <c r="K5" s="4">
        <v>8.6456797586113368</v>
      </c>
      <c r="L5" s="4">
        <v>-3.1257781955599376E-2</v>
      </c>
      <c r="M5" s="4">
        <v>13.928835235204451</v>
      </c>
    </row>
    <row r="6" spans="1:13" x14ac:dyDescent="0.3">
      <c r="A6" s="4" t="s">
        <v>10</v>
      </c>
      <c r="B6" s="4">
        <v>21.895205144274925</v>
      </c>
      <c r="C6" s="4">
        <v>21.672002578132318</v>
      </c>
      <c r="D6" s="4">
        <v>16.974251387078873</v>
      </c>
      <c r="E6" s="4">
        <v>1.2591489374569744E-2</v>
      </c>
      <c r="F6" s="4">
        <v>148.21132288481536</v>
      </c>
      <c r="G6" s="4">
        <v>9.8632648958924263E-3</v>
      </c>
      <c r="H6" s="4">
        <v>1.6193118794916745</v>
      </c>
      <c r="I6" s="4">
        <v>1.2518953277883873</v>
      </c>
      <c r="J6" s="4">
        <v>0.77414776409142427</v>
      </c>
      <c r="K6" s="4">
        <v>8.9771314332932644</v>
      </c>
      <c r="L6" s="4">
        <v>14.527624588181455</v>
      </c>
      <c r="M6" s="4">
        <v>25.746334384475333</v>
      </c>
    </row>
    <row r="7" spans="1:13" x14ac:dyDescent="0.3">
      <c r="A7" s="4" t="s">
        <v>11</v>
      </c>
      <c r="B7" s="4">
        <v>14.500642009766294</v>
      </c>
      <c r="C7" s="4">
        <v>21.166585528252764</v>
      </c>
      <c r="D7" s="4">
        <v>14.57733864834454</v>
      </c>
      <c r="E7" s="4">
        <v>0.13652547542124097</v>
      </c>
      <c r="F7" s="4">
        <v>196.07072162800264</v>
      </c>
      <c r="G7" s="4">
        <v>8.9066584232503659E-2</v>
      </c>
      <c r="H7" s="4">
        <v>1.6832746022628915</v>
      </c>
      <c r="I7" s="4">
        <v>1.4904531971356505</v>
      </c>
      <c r="J7" s="4">
        <v>1.0017885515598681</v>
      </c>
      <c r="K7" s="4">
        <v>20.206276361530357</v>
      </c>
      <c r="L7" s="4">
        <v>6.1447198617016197</v>
      </c>
      <c r="M7" s="4">
        <v>17.439233223062377</v>
      </c>
    </row>
    <row r="8" spans="1:13" x14ac:dyDescent="0.3">
      <c r="A8" s="4" t="s">
        <v>12</v>
      </c>
      <c r="B8" s="4">
        <v>10.052938440514996</v>
      </c>
      <c r="C8" s="4">
        <v>21.844057863003531</v>
      </c>
      <c r="D8" s="4">
        <v>15.020291569823982</v>
      </c>
      <c r="E8" s="4">
        <v>1.0722156565286032E-2</v>
      </c>
      <c r="F8" s="4">
        <v>94.382022386160429</v>
      </c>
      <c r="G8" s="4">
        <v>7.3873888552938218E-3</v>
      </c>
      <c r="H8" s="4">
        <v>1.7770928050702426</v>
      </c>
      <c r="I8" s="4">
        <v>1.5069296280165629</v>
      </c>
      <c r="J8" s="4">
        <v>1.4921738761163017</v>
      </c>
      <c r="K8" s="4">
        <v>16.290811617185586</v>
      </c>
      <c r="L8" s="4">
        <v>19.780649535445061</v>
      </c>
      <c r="M8" s="4">
        <v>6.5249913192251485</v>
      </c>
    </row>
    <row r="9" spans="1:13" x14ac:dyDescent="0.3">
      <c r="A9" s="4" t="s">
        <v>13</v>
      </c>
      <c r="B9" s="4">
        <v>5.5946552664938549</v>
      </c>
      <c r="C9" s="4">
        <v>22.826252879942633</v>
      </c>
      <c r="D9" s="4">
        <v>4.4558700603969754</v>
      </c>
      <c r="E9" s="4">
        <v>1.5623597495135471</v>
      </c>
      <c r="F9" s="4">
        <v>3.1536062554435391</v>
      </c>
      <c r="G9" s="4">
        <v>0.30427535947555173</v>
      </c>
      <c r="H9" s="4">
        <v>1.083215182651035</v>
      </c>
      <c r="I9" s="4">
        <v>0.97500773783860128</v>
      </c>
      <c r="J9" s="4">
        <v>0.89815784993316805</v>
      </c>
      <c r="K9" s="4">
        <v>12.970390083958677</v>
      </c>
      <c r="L9" s="4">
        <v>0.12464081450749531</v>
      </c>
      <c r="M9" s="4">
        <v>29.840893186818839</v>
      </c>
    </row>
    <row r="10" spans="1:13" x14ac:dyDescent="0.3">
      <c r="A10" s="4" t="s">
        <v>14</v>
      </c>
      <c r="B10" s="4">
        <v>6.2783911340730718</v>
      </c>
      <c r="C10" s="4">
        <v>9.6573072957916111</v>
      </c>
      <c r="D10" s="4">
        <v>6.0012462642254762</v>
      </c>
      <c r="E10" s="4">
        <v>6.7662776366046506E-2</v>
      </c>
      <c r="F10" s="4">
        <v>11.689992713806763</v>
      </c>
      <c r="G10" s="4">
        <v>4.1872460362311091E-2</v>
      </c>
      <c r="H10" s="4">
        <v>1.4738839076737982</v>
      </c>
      <c r="I10" s="4">
        <v>0.86035226415689414</v>
      </c>
      <c r="J10" s="4">
        <v>0.9530922062493733</v>
      </c>
      <c r="K10" s="4">
        <v>4.2541144005046156</v>
      </c>
      <c r="L10" s="4">
        <v>1.5658875628863329</v>
      </c>
      <c r="M10" s="4">
        <v>20.107483883800505</v>
      </c>
    </row>
    <row r="11" spans="1:13" x14ac:dyDescent="0.3">
      <c r="A11" s="4" t="s">
        <v>16</v>
      </c>
      <c r="B11" s="4">
        <v>4.3219669454970999</v>
      </c>
      <c r="C11" s="4">
        <v>7.7458956675115722</v>
      </c>
      <c r="D11" s="4">
        <v>4.0886067284870444</v>
      </c>
      <c r="E11" s="4">
        <v>0.22098973888181678</v>
      </c>
      <c r="F11" s="4">
        <v>7.4904006515079553</v>
      </c>
      <c r="G11" s="4">
        <v>0.11390033750445683</v>
      </c>
      <c r="H11" s="4">
        <v>1.2990158710524746</v>
      </c>
      <c r="I11" s="4">
        <v>0.62127720713896106</v>
      </c>
      <c r="J11" s="4">
        <v>0.94251839489459865</v>
      </c>
      <c r="K11" s="4">
        <v>4.0898744443513335</v>
      </c>
      <c r="L11" s="4">
        <v>0.66055581304607514</v>
      </c>
      <c r="M11" s="4">
        <v>14.058904194708433</v>
      </c>
    </row>
    <row r="15" spans="1:13" x14ac:dyDescent="0.3">
      <c r="A15" s="24" t="s">
        <v>55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15.6" x14ac:dyDescent="0.3">
      <c r="A16" s="25" t="s">
        <v>48</v>
      </c>
      <c r="B16" s="25" t="s">
        <v>37</v>
      </c>
      <c r="C16" s="25" t="s">
        <v>38</v>
      </c>
      <c r="D16" s="25" t="s">
        <v>39</v>
      </c>
      <c r="E16" s="25" t="s">
        <v>40</v>
      </c>
      <c r="F16" s="25" t="s">
        <v>41</v>
      </c>
      <c r="G16" s="25" t="s">
        <v>46</v>
      </c>
      <c r="H16" s="25" t="s">
        <v>42</v>
      </c>
      <c r="I16" s="25" t="s">
        <v>43</v>
      </c>
      <c r="J16" s="25" t="s">
        <v>44</v>
      </c>
      <c r="K16" s="25" t="s">
        <v>45</v>
      </c>
      <c r="L16" s="25" t="s">
        <v>47</v>
      </c>
      <c r="M16" s="25" t="s">
        <v>50</v>
      </c>
    </row>
    <row r="17" spans="1:13" x14ac:dyDescent="0.3">
      <c r="A17" s="4" t="s">
        <v>0</v>
      </c>
      <c r="B17" s="9">
        <v>2</v>
      </c>
      <c r="C17" s="9">
        <v>3</v>
      </c>
      <c r="D17" s="9">
        <v>4</v>
      </c>
      <c r="E17" s="9">
        <v>5</v>
      </c>
      <c r="F17" s="9">
        <v>5</v>
      </c>
      <c r="G17" s="9">
        <v>5</v>
      </c>
      <c r="H17" s="9">
        <v>2</v>
      </c>
      <c r="I17" s="9">
        <v>2</v>
      </c>
      <c r="J17" s="9">
        <v>5</v>
      </c>
      <c r="K17" s="9">
        <v>4</v>
      </c>
      <c r="L17" s="9">
        <v>5</v>
      </c>
      <c r="M17" s="9">
        <v>5</v>
      </c>
    </row>
    <row r="18" spans="1:13" x14ac:dyDescent="0.3">
      <c r="A18" s="4" t="s">
        <v>7</v>
      </c>
      <c r="B18" s="9">
        <v>1</v>
      </c>
      <c r="C18" s="9">
        <v>4</v>
      </c>
      <c r="D18" s="9">
        <v>2</v>
      </c>
      <c r="E18" s="9">
        <v>3</v>
      </c>
      <c r="F18" s="9">
        <v>4</v>
      </c>
      <c r="G18" s="9">
        <v>4</v>
      </c>
      <c r="H18" s="9">
        <v>2</v>
      </c>
      <c r="I18" s="9">
        <v>2</v>
      </c>
      <c r="J18" s="9">
        <v>3</v>
      </c>
      <c r="K18" s="9">
        <v>2</v>
      </c>
      <c r="L18" s="9">
        <v>4</v>
      </c>
      <c r="M18" s="9">
        <v>3</v>
      </c>
    </row>
    <row r="19" spans="1:13" x14ac:dyDescent="0.3">
      <c r="A19" s="4" t="s">
        <v>8</v>
      </c>
      <c r="B19" s="9">
        <v>2</v>
      </c>
      <c r="C19" s="9">
        <v>3</v>
      </c>
      <c r="D19" s="9">
        <v>1</v>
      </c>
      <c r="E19" s="9">
        <v>2</v>
      </c>
      <c r="F19" s="9">
        <v>1</v>
      </c>
      <c r="G19" s="9">
        <v>3</v>
      </c>
      <c r="H19" s="9">
        <v>4</v>
      </c>
      <c r="I19" s="9">
        <v>4</v>
      </c>
      <c r="J19" s="9">
        <v>1</v>
      </c>
      <c r="K19" s="9">
        <v>2</v>
      </c>
      <c r="L19" s="9">
        <v>3</v>
      </c>
      <c r="M19" s="9">
        <v>0</v>
      </c>
    </row>
    <row r="20" spans="1:13" x14ac:dyDescent="0.3">
      <c r="A20" s="4" t="s">
        <v>9</v>
      </c>
      <c r="B20" s="9">
        <v>2</v>
      </c>
      <c r="C20" s="9">
        <v>4</v>
      </c>
      <c r="D20" s="9">
        <v>1</v>
      </c>
      <c r="E20" s="9">
        <v>1</v>
      </c>
      <c r="F20" s="9">
        <v>1</v>
      </c>
      <c r="G20" s="9">
        <v>3</v>
      </c>
      <c r="H20" s="9">
        <v>4</v>
      </c>
      <c r="I20" s="9">
        <v>4</v>
      </c>
      <c r="J20" s="9">
        <v>1</v>
      </c>
      <c r="K20" s="9">
        <v>2</v>
      </c>
      <c r="L20" s="9">
        <v>3</v>
      </c>
      <c r="M20" s="9">
        <v>0</v>
      </c>
    </row>
    <row r="21" spans="1:13" x14ac:dyDescent="0.3">
      <c r="A21" s="4" t="s">
        <v>10</v>
      </c>
      <c r="B21" s="9">
        <v>5</v>
      </c>
      <c r="C21" s="9">
        <v>5</v>
      </c>
      <c r="D21" s="9">
        <v>4</v>
      </c>
      <c r="E21" s="9">
        <v>5</v>
      </c>
      <c r="F21" s="9">
        <v>5</v>
      </c>
      <c r="G21" s="9">
        <v>5</v>
      </c>
      <c r="H21" s="9">
        <v>5</v>
      </c>
      <c r="I21" s="9">
        <v>5</v>
      </c>
      <c r="J21" s="9">
        <v>1</v>
      </c>
      <c r="K21" s="9">
        <v>2</v>
      </c>
      <c r="L21" s="9">
        <v>3</v>
      </c>
      <c r="M21" s="9">
        <v>5</v>
      </c>
    </row>
    <row r="22" spans="1:13" x14ac:dyDescent="0.3">
      <c r="A22" s="4" t="s">
        <v>11</v>
      </c>
      <c r="B22" s="9">
        <v>3</v>
      </c>
      <c r="C22" s="9">
        <v>5</v>
      </c>
      <c r="D22" s="9">
        <v>3</v>
      </c>
      <c r="E22" s="9">
        <v>5</v>
      </c>
      <c r="F22" s="9">
        <v>5</v>
      </c>
      <c r="G22" s="9">
        <v>5</v>
      </c>
      <c r="H22" s="9">
        <v>5</v>
      </c>
      <c r="I22" s="9">
        <v>5</v>
      </c>
      <c r="J22" s="9">
        <v>2</v>
      </c>
      <c r="K22" s="9">
        <v>5</v>
      </c>
      <c r="L22" s="9">
        <v>3</v>
      </c>
      <c r="M22" s="9">
        <v>5</v>
      </c>
    </row>
    <row r="23" spans="1:13" x14ac:dyDescent="0.3">
      <c r="A23" s="4" t="s">
        <v>12</v>
      </c>
      <c r="B23" s="9">
        <v>3</v>
      </c>
      <c r="C23" s="9">
        <v>5</v>
      </c>
      <c r="D23" s="9">
        <v>4</v>
      </c>
      <c r="E23" s="9">
        <v>5</v>
      </c>
      <c r="F23" s="9">
        <v>5</v>
      </c>
      <c r="G23" s="9">
        <v>5</v>
      </c>
      <c r="H23" s="9">
        <v>5</v>
      </c>
      <c r="I23" s="9">
        <v>5</v>
      </c>
      <c r="J23" s="9">
        <v>3</v>
      </c>
      <c r="K23" s="9">
        <v>4</v>
      </c>
      <c r="L23" s="9">
        <v>2</v>
      </c>
      <c r="M23" s="9">
        <v>5</v>
      </c>
    </row>
    <row r="24" spans="1:13" x14ac:dyDescent="0.3">
      <c r="A24" s="4" t="s">
        <v>13</v>
      </c>
      <c r="B24" s="9">
        <v>2</v>
      </c>
      <c r="C24" s="9">
        <v>5</v>
      </c>
      <c r="D24" s="9">
        <v>1</v>
      </c>
      <c r="E24" s="9">
        <v>1</v>
      </c>
      <c r="F24" s="9">
        <v>1</v>
      </c>
      <c r="G24" s="9">
        <v>3</v>
      </c>
      <c r="H24" s="9">
        <v>3</v>
      </c>
      <c r="I24" s="9">
        <v>3</v>
      </c>
      <c r="J24" s="9">
        <v>1</v>
      </c>
      <c r="K24" s="9">
        <v>3</v>
      </c>
      <c r="L24" s="9">
        <v>5</v>
      </c>
      <c r="M24" s="9">
        <v>1</v>
      </c>
    </row>
    <row r="25" spans="1:13" x14ac:dyDescent="0.3">
      <c r="A25" s="4" t="s">
        <v>14</v>
      </c>
      <c r="B25" s="9">
        <v>2</v>
      </c>
      <c r="C25" s="9">
        <v>2</v>
      </c>
      <c r="D25" s="9">
        <v>2</v>
      </c>
      <c r="E25" s="9">
        <v>5</v>
      </c>
      <c r="F25" s="9">
        <v>3</v>
      </c>
      <c r="G25" s="9">
        <v>5</v>
      </c>
      <c r="H25" s="9">
        <v>5</v>
      </c>
      <c r="I25" s="9">
        <v>3</v>
      </c>
      <c r="J25" s="9">
        <v>2</v>
      </c>
      <c r="K25" s="9">
        <v>1</v>
      </c>
      <c r="L25" s="9">
        <v>5</v>
      </c>
      <c r="M25" s="9">
        <v>3</v>
      </c>
    </row>
    <row r="26" spans="1:13" x14ac:dyDescent="0.3">
      <c r="A26" s="4" t="s">
        <v>16</v>
      </c>
      <c r="B26" s="9">
        <v>1</v>
      </c>
      <c r="C26" s="9">
        <v>2</v>
      </c>
      <c r="D26" s="9">
        <v>1</v>
      </c>
      <c r="E26" s="9">
        <v>4</v>
      </c>
      <c r="F26" s="9">
        <v>2</v>
      </c>
      <c r="G26" s="9">
        <v>4</v>
      </c>
      <c r="H26" s="9">
        <v>4</v>
      </c>
      <c r="I26" s="9">
        <v>2</v>
      </c>
      <c r="J26" s="9">
        <v>2</v>
      </c>
      <c r="K26" s="9">
        <v>1</v>
      </c>
      <c r="L26" s="9">
        <v>3</v>
      </c>
      <c r="M26" s="9">
        <v>2</v>
      </c>
    </row>
    <row r="29" spans="1:13" ht="15.6" x14ac:dyDescent="0.3">
      <c r="C29" s="25" t="s">
        <v>48</v>
      </c>
      <c r="D29" s="25" t="s">
        <v>52</v>
      </c>
      <c r="E29" s="25" t="s">
        <v>51</v>
      </c>
      <c r="F29" s="25" t="s">
        <v>53</v>
      </c>
      <c r="G29" s="25" t="s">
        <v>54</v>
      </c>
      <c r="H29" s="25" t="s">
        <v>56</v>
      </c>
    </row>
    <row r="30" spans="1:13" x14ac:dyDescent="0.3">
      <c r="C30" s="4" t="s">
        <v>0</v>
      </c>
      <c r="D30" s="10">
        <v>3</v>
      </c>
      <c r="E30" s="10">
        <v>5</v>
      </c>
      <c r="F30" s="10">
        <v>2</v>
      </c>
      <c r="G30" s="10">
        <v>4.666666666666667</v>
      </c>
      <c r="H30" s="32">
        <f>0.3*D30 + 0.4*E30 + 0.15*F30 + 0.15*G30</f>
        <v>3.9</v>
      </c>
    </row>
    <row r="31" spans="1:13" x14ac:dyDescent="0.3">
      <c r="C31" s="4" t="s">
        <v>7</v>
      </c>
      <c r="D31" s="10">
        <v>2.3333333333333335</v>
      </c>
      <c r="E31" s="10">
        <v>3.6666666666666665</v>
      </c>
      <c r="F31" s="10">
        <v>2</v>
      </c>
      <c r="G31" s="10">
        <v>3</v>
      </c>
      <c r="H31" s="32">
        <f t="shared" ref="H31:H39" si="0">0.3*D31 + 0.4*E31 + 0.15*F31 + 0.15*G31</f>
        <v>2.916666666666667</v>
      </c>
    </row>
    <row r="32" spans="1:13" x14ac:dyDescent="0.3">
      <c r="C32" s="4" t="s">
        <v>8</v>
      </c>
      <c r="D32" s="10">
        <v>2</v>
      </c>
      <c r="E32" s="10">
        <v>2</v>
      </c>
      <c r="F32" s="10">
        <v>4</v>
      </c>
      <c r="G32" s="10">
        <v>2</v>
      </c>
      <c r="H32" s="32">
        <f t="shared" si="0"/>
        <v>2.2999999999999998</v>
      </c>
    </row>
    <row r="33" spans="3:8" x14ac:dyDescent="0.3">
      <c r="C33" s="4" t="s">
        <v>9</v>
      </c>
      <c r="D33" s="10">
        <v>2.3333333333333335</v>
      </c>
      <c r="E33" s="10">
        <v>1.6666666666666667</v>
      </c>
      <c r="F33" s="10">
        <v>4</v>
      </c>
      <c r="G33" s="10">
        <v>2</v>
      </c>
      <c r="H33" s="32">
        <f t="shared" si="0"/>
        <v>2.2666666666666666</v>
      </c>
    </row>
    <row r="34" spans="3:8" x14ac:dyDescent="0.3">
      <c r="C34" s="4" t="s">
        <v>10</v>
      </c>
      <c r="D34" s="10">
        <v>4.666666666666667</v>
      </c>
      <c r="E34" s="10">
        <v>5</v>
      </c>
      <c r="F34" s="10">
        <v>5</v>
      </c>
      <c r="G34" s="10">
        <v>2</v>
      </c>
      <c r="H34" s="32">
        <f t="shared" si="0"/>
        <v>4.45</v>
      </c>
    </row>
    <row r="35" spans="3:8" x14ac:dyDescent="0.3">
      <c r="C35" s="4" t="s">
        <v>11</v>
      </c>
      <c r="D35" s="10">
        <v>3.6666666666666665</v>
      </c>
      <c r="E35" s="10">
        <v>5</v>
      </c>
      <c r="F35" s="10">
        <v>5</v>
      </c>
      <c r="G35" s="10">
        <v>3.3333333333333335</v>
      </c>
      <c r="H35" s="32">
        <f t="shared" si="0"/>
        <v>4.3499999999999996</v>
      </c>
    </row>
    <row r="36" spans="3:8" x14ac:dyDescent="0.3">
      <c r="C36" s="4" t="s">
        <v>12</v>
      </c>
      <c r="D36" s="10">
        <v>4</v>
      </c>
      <c r="E36" s="10">
        <v>5</v>
      </c>
      <c r="F36" s="10">
        <v>5</v>
      </c>
      <c r="G36" s="10">
        <v>3</v>
      </c>
      <c r="H36" s="32">
        <f t="shared" si="0"/>
        <v>4.4000000000000004</v>
      </c>
    </row>
    <row r="37" spans="3:8" x14ac:dyDescent="0.3">
      <c r="C37" s="4" t="s">
        <v>13</v>
      </c>
      <c r="D37" s="10">
        <v>2.6666666666666665</v>
      </c>
      <c r="E37" s="10">
        <v>1.6666666666666667</v>
      </c>
      <c r="F37" s="10">
        <v>3</v>
      </c>
      <c r="G37" s="10">
        <v>3</v>
      </c>
      <c r="H37" s="32">
        <f t="shared" si="0"/>
        <v>2.3666666666666667</v>
      </c>
    </row>
    <row r="38" spans="3:8" x14ac:dyDescent="0.3">
      <c r="C38" s="4" t="s">
        <v>14</v>
      </c>
      <c r="D38" s="10">
        <v>2</v>
      </c>
      <c r="E38" s="10">
        <v>4.333333333333333</v>
      </c>
      <c r="F38" s="10">
        <v>4</v>
      </c>
      <c r="G38" s="10">
        <v>2.6666666666666665</v>
      </c>
      <c r="H38" s="32">
        <f t="shared" si="0"/>
        <v>3.3333333333333335</v>
      </c>
    </row>
    <row r="39" spans="3:8" x14ac:dyDescent="0.3">
      <c r="C39" s="4" t="s">
        <v>16</v>
      </c>
      <c r="D39" s="10">
        <v>1.3333333333333333</v>
      </c>
      <c r="E39" s="10">
        <v>3.3333333333333335</v>
      </c>
      <c r="F39" s="10">
        <v>3</v>
      </c>
      <c r="G39" s="10">
        <v>2</v>
      </c>
      <c r="H39" s="32">
        <f t="shared" si="0"/>
        <v>2.4833333333333334</v>
      </c>
    </row>
  </sheetData>
  <mergeCells count="1">
    <mergeCell ref="A15:M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D1A4-FCEE-4A68-ABCD-03B4FF2C445C}">
  <dimension ref="B3:L18"/>
  <sheetViews>
    <sheetView showGridLines="0" workbookViewId="0">
      <selection activeCell="G20" sqref="G20"/>
    </sheetView>
  </sheetViews>
  <sheetFormatPr defaultRowHeight="14.4" x14ac:dyDescent="0.3"/>
  <cols>
    <col min="2" max="2" width="19" bestFit="1" customWidth="1"/>
    <col min="3" max="3" width="17.6640625" bestFit="1" customWidth="1"/>
    <col min="4" max="4" width="14.77734375" bestFit="1" customWidth="1"/>
    <col min="5" max="5" width="14.6640625" bestFit="1" customWidth="1"/>
    <col min="6" max="6" width="15.33203125" bestFit="1" customWidth="1"/>
    <col min="7" max="7" width="12" bestFit="1" customWidth="1"/>
    <col min="8" max="8" width="14.109375" bestFit="1" customWidth="1"/>
    <col min="14" max="14" width="9.88671875" customWidth="1"/>
  </cols>
  <sheetData>
    <row r="3" spans="2:12" x14ac:dyDescent="0.3">
      <c r="B3" s="13" t="s">
        <v>72</v>
      </c>
      <c r="C3" s="14">
        <v>0.3</v>
      </c>
      <c r="D3" s="14">
        <v>0.4</v>
      </c>
      <c r="E3" s="14">
        <v>0.15</v>
      </c>
      <c r="F3" s="14">
        <v>0.15</v>
      </c>
      <c r="G3" s="14">
        <v>1</v>
      </c>
    </row>
    <row r="4" spans="2:12" ht="15.6" x14ac:dyDescent="0.3">
      <c r="B4" s="26" t="s">
        <v>20</v>
      </c>
      <c r="C4" s="26" t="s">
        <v>52</v>
      </c>
      <c r="D4" s="26" t="s">
        <v>51</v>
      </c>
      <c r="E4" s="26" t="s">
        <v>53</v>
      </c>
      <c r="F4" s="26" t="s">
        <v>54</v>
      </c>
      <c r="G4" s="26" t="s">
        <v>56</v>
      </c>
      <c r="H4" s="27" t="s">
        <v>57</v>
      </c>
    </row>
    <row r="5" spans="2:12" ht="15.6" x14ac:dyDescent="0.3">
      <c r="B5" s="4" t="s">
        <v>0</v>
      </c>
      <c r="C5" s="10">
        <v>3</v>
      </c>
      <c r="D5" s="10">
        <v>5</v>
      </c>
      <c r="E5" s="10">
        <v>2</v>
      </c>
      <c r="F5" s="10">
        <v>4.666666666666667</v>
      </c>
      <c r="G5" s="11">
        <f>0.3*C5+0.4*D5+0.15*E5+0.15*F5</f>
        <v>3.9</v>
      </c>
      <c r="H5" s="12" t="s">
        <v>58</v>
      </c>
    </row>
    <row r="6" spans="2:12" ht="15.6" x14ac:dyDescent="0.3">
      <c r="B6" s="4" t="s">
        <v>7</v>
      </c>
      <c r="C6" s="10">
        <v>2.3333333333333335</v>
      </c>
      <c r="D6" s="10">
        <v>3.6666666666666665</v>
      </c>
      <c r="E6" s="10">
        <v>2</v>
      </c>
      <c r="F6" s="10">
        <v>3</v>
      </c>
      <c r="G6" s="11">
        <f t="shared" ref="G6:G14" si="0">0.3*C6+0.4*D6+0.15*E6+0.15*F6</f>
        <v>2.916666666666667</v>
      </c>
      <c r="H6" s="12" t="s">
        <v>59</v>
      </c>
      <c r="K6" s="15" t="s">
        <v>71</v>
      </c>
      <c r="L6" s="15" t="s">
        <v>70</v>
      </c>
    </row>
    <row r="7" spans="2:12" ht="15.6" x14ac:dyDescent="0.3">
      <c r="B7" s="4" t="s">
        <v>8</v>
      </c>
      <c r="C7" s="10">
        <v>2</v>
      </c>
      <c r="D7" s="10">
        <v>2</v>
      </c>
      <c r="E7" s="10">
        <v>4</v>
      </c>
      <c r="F7" s="10">
        <v>2</v>
      </c>
      <c r="G7" s="11">
        <f t="shared" si="0"/>
        <v>2.2999999999999998</v>
      </c>
      <c r="H7" s="12" t="s">
        <v>63</v>
      </c>
      <c r="K7" s="16" t="s">
        <v>64</v>
      </c>
      <c r="L7" s="4" t="s">
        <v>61</v>
      </c>
    </row>
    <row r="8" spans="2:12" ht="15.6" x14ac:dyDescent="0.3">
      <c r="B8" s="4" t="s">
        <v>9</v>
      </c>
      <c r="C8" s="10">
        <v>2.3333333333333335</v>
      </c>
      <c r="D8" s="10">
        <v>1.6666666666666667</v>
      </c>
      <c r="E8" s="10">
        <v>4</v>
      </c>
      <c r="F8" s="10">
        <v>2</v>
      </c>
      <c r="G8" s="11">
        <f t="shared" si="0"/>
        <v>2.2666666666666666</v>
      </c>
      <c r="H8" s="12" t="s">
        <v>63</v>
      </c>
      <c r="K8" s="16" t="s">
        <v>65</v>
      </c>
      <c r="L8" s="4" t="s">
        <v>58</v>
      </c>
    </row>
    <row r="9" spans="2:12" ht="15.6" x14ac:dyDescent="0.3">
      <c r="B9" s="4" t="s">
        <v>10</v>
      </c>
      <c r="C9" s="10">
        <v>4.666666666666667</v>
      </c>
      <c r="D9" s="10">
        <v>5</v>
      </c>
      <c r="E9" s="10">
        <v>5</v>
      </c>
      <c r="F9" s="10">
        <v>2</v>
      </c>
      <c r="G9" s="11">
        <f t="shared" si="0"/>
        <v>4.45</v>
      </c>
      <c r="H9" s="12" t="s">
        <v>61</v>
      </c>
      <c r="K9" s="16" t="s">
        <v>66</v>
      </c>
      <c r="L9" s="4" t="s">
        <v>62</v>
      </c>
    </row>
    <row r="10" spans="2:12" ht="15.6" x14ac:dyDescent="0.3">
      <c r="B10" s="4" t="s">
        <v>11</v>
      </c>
      <c r="C10" s="10">
        <v>3.6666666666666665</v>
      </c>
      <c r="D10" s="10">
        <v>5</v>
      </c>
      <c r="E10" s="10">
        <v>5</v>
      </c>
      <c r="F10" s="10">
        <v>3.3333333333333335</v>
      </c>
      <c r="G10" s="11">
        <f t="shared" si="0"/>
        <v>4.3499999999999996</v>
      </c>
      <c r="H10" s="12" t="s">
        <v>61</v>
      </c>
      <c r="K10" s="16" t="s">
        <v>67</v>
      </c>
      <c r="L10" s="4" t="s">
        <v>59</v>
      </c>
    </row>
    <row r="11" spans="2:12" ht="15.6" x14ac:dyDescent="0.3">
      <c r="B11" s="4" t="s">
        <v>12</v>
      </c>
      <c r="C11" s="10">
        <v>4</v>
      </c>
      <c r="D11" s="10">
        <v>5</v>
      </c>
      <c r="E11" s="10">
        <v>5</v>
      </c>
      <c r="F11" s="10">
        <v>3</v>
      </c>
      <c r="G11" s="11">
        <f t="shared" si="0"/>
        <v>4.4000000000000004</v>
      </c>
      <c r="H11" s="12" t="s">
        <v>61</v>
      </c>
      <c r="K11" s="16" t="s">
        <v>68</v>
      </c>
      <c r="L11" s="4" t="s">
        <v>63</v>
      </c>
    </row>
    <row r="12" spans="2:12" ht="15.6" x14ac:dyDescent="0.3">
      <c r="B12" s="4" t="s">
        <v>13</v>
      </c>
      <c r="C12" s="10">
        <v>2.6666666666666665</v>
      </c>
      <c r="D12" s="10">
        <v>1.6666666666666667</v>
      </c>
      <c r="E12" s="10">
        <v>3</v>
      </c>
      <c r="F12" s="10">
        <v>3</v>
      </c>
      <c r="G12" s="11">
        <f t="shared" si="0"/>
        <v>2.3666666666666667</v>
      </c>
      <c r="H12" s="12" t="s">
        <v>63</v>
      </c>
      <c r="K12" s="16" t="s">
        <v>69</v>
      </c>
      <c r="L12" s="4" t="s">
        <v>60</v>
      </c>
    </row>
    <row r="13" spans="2:12" ht="15.6" x14ac:dyDescent="0.3">
      <c r="B13" s="4" t="s">
        <v>14</v>
      </c>
      <c r="C13" s="10">
        <v>2</v>
      </c>
      <c r="D13" s="10">
        <v>4.333333333333333</v>
      </c>
      <c r="E13" s="10">
        <v>4</v>
      </c>
      <c r="F13" s="10">
        <v>2.6666666666666665</v>
      </c>
      <c r="G13" s="11">
        <f t="shared" si="0"/>
        <v>3.3333333333333335</v>
      </c>
      <c r="H13" s="12" t="s">
        <v>62</v>
      </c>
    </row>
    <row r="14" spans="2:12" ht="15.6" x14ac:dyDescent="0.3">
      <c r="B14" s="4" t="s">
        <v>16</v>
      </c>
      <c r="C14" s="10">
        <v>1.3333333333333333</v>
      </c>
      <c r="D14" s="10">
        <v>3.3333333333333335</v>
      </c>
      <c r="E14" s="10">
        <v>3</v>
      </c>
      <c r="F14" s="10">
        <v>2</v>
      </c>
      <c r="G14" s="11">
        <f t="shared" si="0"/>
        <v>2.4833333333333334</v>
      </c>
      <c r="H14" s="12" t="s">
        <v>63</v>
      </c>
    </row>
    <row r="17" spans="11:12" x14ac:dyDescent="0.3">
      <c r="K17" s="19"/>
    </row>
    <row r="18" spans="11:12" x14ac:dyDescent="0.3">
      <c r="K18" s="19"/>
      <c r="L18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D6E7-94FD-4A3D-AA80-25401F8CA97C}">
  <dimension ref="A3:M15"/>
  <sheetViews>
    <sheetView workbookViewId="0">
      <selection activeCell="B26" sqref="B26"/>
    </sheetView>
  </sheetViews>
  <sheetFormatPr defaultRowHeight="14.4" x14ac:dyDescent="0.3"/>
  <cols>
    <col min="1" max="1" width="13.21875" customWidth="1"/>
    <col min="2" max="2" width="33.44140625" customWidth="1"/>
    <col min="3" max="3" width="8.88671875" customWidth="1"/>
    <col min="4" max="4" width="19.33203125" customWidth="1"/>
    <col min="7" max="7" width="9.88671875" customWidth="1"/>
    <col min="8" max="8" width="20.33203125" customWidth="1"/>
    <col min="13" max="13" width="10.44140625" customWidth="1"/>
    <col min="16" max="16" width="11.44140625" customWidth="1"/>
    <col min="18" max="18" width="10.44140625" customWidth="1"/>
  </cols>
  <sheetData>
    <row r="3" spans="1:13" x14ac:dyDescent="0.3">
      <c r="D3" s="21" t="s">
        <v>73</v>
      </c>
      <c r="E3" s="21"/>
      <c r="F3" s="21"/>
      <c r="G3" s="21"/>
      <c r="H3" s="21"/>
      <c r="I3" s="22"/>
      <c r="J3" s="22"/>
      <c r="K3" s="22"/>
    </row>
    <row r="5" spans="1:13" x14ac:dyDescent="0.3">
      <c r="D5" s="28" t="s">
        <v>20</v>
      </c>
      <c r="E5" s="28" t="s">
        <v>78</v>
      </c>
      <c r="F5" s="28" t="s">
        <v>75</v>
      </c>
      <c r="G5" s="28" t="s">
        <v>80</v>
      </c>
      <c r="H5" s="28" t="s">
        <v>81</v>
      </c>
    </row>
    <row r="6" spans="1:13" x14ac:dyDescent="0.3">
      <c r="A6" s="24" t="s">
        <v>79</v>
      </c>
      <c r="B6" s="24"/>
      <c r="D6" s="4" t="s">
        <v>0</v>
      </c>
      <c r="E6" s="4">
        <v>2E-3</v>
      </c>
      <c r="F6" s="17">
        <v>0.4</v>
      </c>
      <c r="G6" s="4">
        <v>100</v>
      </c>
      <c r="H6" s="23">
        <f>(E6*F6*G6)</f>
        <v>0.08</v>
      </c>
    </row>
    <row r="7" spans="1:13" x14ac:dyDescent="0.3">
      <c r="A7" s="9" t="s">
        <v>57</v>
      </c>
      <c r="B7" s="9" t="s">
        <v>78</v>
      </c>
      <c r="D7" s="4" t="s">
        <v>7</v>
      </c>
      <c r="E7" s="4">
        <v>1.2E-2</v>
      </c>
      <c r="F7" s="17">
        <v>0.4</v>
      </c>
      <c r="G7" s="4">
        <v>100</v>
      </c>
      <c r="H7" s="23">
        <f t="shared" ref="H7:H15" si="0">(E7*F7*G7)</f>
        <v>0.48000000000000004</v>
      </c>
    </row>
    <row r="8" spans="1:13" x14ac:dyDescent="0.3">
      <c r="A8" s="9" t="s">
        <v>61</v>
      </c>
      <c r="B8" s="9">
        <v>1E-3</v>
      </c>
      <c r="D8" s="4" t="s">
        <v>8</v>
      </c>
      <c r="E8" s="4">
        <v>0.04</v>
      </c>
      <c r="F8" s="17">
        <v>0.4</v>
      </c>
      <c r="G8" s="4">
        <v>100</v>
      </c>
      <c r="H8" s="23">
        <f t="shared" si="0"/>
        <v>1.6</v>
      </c>
    </row>
    <row r="9" spans="1:13" x14ac:dyDescent="0.3">
      <c r="A9" s="9" t="s">
        <v>58</v>
      </c>
      <c r="B9" s="9">
        <v>2E-3</v>
      </c>
      <c r="D9" s="4" t="s">
        <v>9</v>
      </c>
      <c r="E9" s="4">
        <v>0.04</v>
      </c>
      <c r="F9" s="17">
        <v>0.4</v>
      </c>
      <c r="G9" s="4">
        <v>100</v>
      </c>
      <c r="H9" s="23">
        <f t="shared" si="0"/>
        <v>1.6</v>
      </c>
      <c r="J9" s="18" t="s">
        <v>74</v>
      </c>
      <c r="K9" s="4">
        <v>100</v>
      </c>
      <c r="L9" s="4" t="s">
        <v>76</v>
      </c>
      <c r="M9" s="4"/>
    </row>
    <row r="10" spans="1:13" x14ac:dyDescent="0.3">
      <c r="A10" s="9" t="s">
        <v>62</v>
      </c>
      <c r="B10" s="9">
        <v>6.0000000000000001E-3</v>
      </c>
      <c r="D10" s="4" t="s">
        <v>10</v>
      </c>
      <c r="E10" s="4">
        <v>1E-3</v>
      </c>
      <c r="F10" s="17">
        <v>0.4</v>
      </c>
      <c r="G10" s="4">
        <v>100</v>
      </c>
      <c r="H10" s="23">
        <f t="shared" si="0"/>
        <v>0.04</v>
      </c>
      <c r="J10" s="18" t="s">
        <v>75</v>
      </c>
      <c r="K10" s="17">
        <v>0.4</v>
      </c>
      <c r="L10" s="4" t="s">
        <v>77</v>
      </c>
      <c r="M10" s="4"/>
    </row>
    <row r="11" spans="1:13" x14ac:dyDescent="0.3">
      <c r="A11" s="9" t="s">
        <v>59</v>
      </c>
      <c r="B11" s="9">
        <v>1.2E-2</v>
      </c>
      <c r="D11" s="4" t="s">
        <v>11</v>
      </c>
      <c r="E11" s="4">
        <v>1E-3</v>
      </c>
      <c r="F11" s="17">
        <v>0.4</v>
      </c>
      <c r="G11" s="4">
        <v>100</v>
      </c>
      <c r="H11" s="23">
        <f t="shared" si="0"/>
        <v>0.04</v>
      </c>
    </row>
    <row r="12" spans="1:13" x14ac:dyDescent="0.3">
      <c r="A12" s="9" t="s">
        <v>63</v>
      </c>
      <c r="B12" s="9">
        <v>0.04</v>
      </c>
      <c r="D12" s="4" t="s">
        <v>12</v>
      </c>
      <c r="E12" s="4">
        <v>1E-3</v>
      </c>
      <c r="F12" s="17">
        <v>0.4</v>
      </c>
      <c r="G12" s="4">
        <v>100</v>
      </c>
      <c r="H12" s="23">
        <f t="shared" si="0"/>
        <v>0.04</v>
      </c>
    </row>
    <row r="13" spans="1:13" x14ac:dyDescent="0.3">
      <c r="A13" s="9" t="s">
        <v>60</v>
      </c>
      <c r="B13" s="9">
        <v>0.1</v>
      </c>
      <c r="D13" s="4" t="s">
        <v>13</v>
      </c>
      <c r="E13" s="4">
        <v>0.04</v>
      </c>
      <c r="F13" s="17">
        <v>0.4</v>
      </c>
      <c r="G13" s="4">
        <v>100</v>
      </c>
      <c r="H13" s="23">
        <f t="shared" si="0"/>
        <v>1.6</v>
      </c>
    </row>
    <row r="14" spans="1:13" x14ac:dyDescent="0.3">
      <c r="D14" s="4" t="s">
        <v>14</v>
      </c>
      <c r="E14" s="4">
        <v>6.0000000000000001E-3</v>
      </c>
      <c r="F14" s="17">
        <v>0.4</v>
      </c>
      <c r="G14" s="4">
        <v>100</v>
      </c>
      <c r="H14" s="23">
        <f t="shared" si="0"/>
        <v>0.24000000000000002</v>
      </c>
    </row>
    <row r="15" spans="1:13" x14ac:dyDescent="0.3">
      <c r="D15" s="4" t="s">
        <v>16</v>
      </c>
      <c r="E15" s="4">
        <v>0.04</v>
      </c>
      <c r="F15" s="17">
        <v>0.4</v>
      </c>
      <c r="G15" s="4">
        <v>100</v>
      </c>
      <c r="H15" s="23">
        <f t="shared" si="0"/>
        <v>1.6</v>
      </c>
    </row>
  </sheetData>
  <mergeCells count="1">
    <mergeCell ref="A6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2997-E7BC-40F1-A7D3-B9B535625C0B}">
  <dimension ref="B2:N36"/>
  <sheetViews>
    <sheetView showGridLines="0" topLeftCell="A7" workbookViewId="0">
      <selection activeCell="K13" sqref="K13"/>
    </sheetView>
  </sheetViews>
  <sheetFormatPr defaultRowHeight="14.4" x14ac:dyDescent="0.3"/>
  <cols>
    <col min="2" max="3" width="19" bestFit="1" customWidth="1"/>
    <col min="4" max="4" width="17.6640625" bestFit="1" customWidth="1"/>
    <col min="5" max="5" width="14.77734375" bestFit="1" customWidth="1"/>
    <col min="6" max="6" width="14.6640625" bestFit="1" customWidth="1"/>
    <col min="7" max="7" width="15.5546875" bestFit="1" customWidth="1"/>
    <col min="8" max="8" width="11.88671875" bestFit="1" customWidth="1"/>
    <col min="9" max="9" width="13.21875" bestFit="1" customWidth="1"/>
    <col min="10" max="10" width="10.33203125" bestFit="1" customWidth="1"/>
    <col min="11" max="11" width="13.21875" bestFit="1" customWidth="1"/>
    <col min="12" max="12" width="16.6640625" bestFit="1" customWidth="1"/>
    <col min="13" max="13" width="10" bestFit="1" customWidth="1"/>
    <col min="14" max="14" width="13.109375" bestFit="1" customWidth="1"/>
  </cols>
  <sheetData>
    <row r="2" spans="2:9" x14ac:dyDescent="0.3">
      <c r="C2" s="30"/>
      <c r="D2" t="s">
        <v>83</v>
      </c>
      <c r="E2" t="s">
        <v>84</v>
      </c>
      <c r="G2" s="15" t="s">
        <v>71</v>
      </c>
      <c r="H2" s="15" t="s">
        <v>70</v>
      </c>
    </row>
    <row r="3" spans="2:9" ht="15.6" x14ac:dyDescent="0.3">
      <c r="B3" s="31"/>
      <c r="C3" s="39" t="s">
        <v>93</v>
      </c>
      <c r="D3" s="39" t="s">
        <v>89</v>
      </c>
      <c r="E3" s="39" t="s">
        <v>82</v>
      </c>
      <c r="F3" s="29"/>
      <c r="G3" s="16" t="s">
        <v>64</v>
      </c>
      <c r="H3" s="4" t="s">
        <v>61</v>
      </c>
    </row>
    <row r="4" spans="2:9" x14ac:dyDescent="0.3">
      <c r="B4" s="22"/>
      <c r="C4" s="9" t="s">
        <v>88</v>
      </c>
      <c r="D4" s="40">
        <v>-0.1</v>
      </c>
      <c r="E4" s="40">
        <v>-0.2</v>
      </c>
      <c r="G4" s="16" t="s">
        <v>65</v>
      </c>
      <c r="H4" s="4" t="s">
        <v>58</v>
      </c>
    </row>
    <row r="5" spans="2:9" x14ac:dyDescent="0.3">
      <c r="C5" s="9" t="s">
        <v>85</v>
      </c>
      <c r="D5" s="40">
        <v>-0.05</v>
      </c>
      <c r="E5" s="40">
        <v>-0.1</v>
      </c>
      <c r="G5" s="16" t="s">
        <v>66</v>
      </c>
      <c r="H5" s="4" t="s">
        <v>62</v>
      </c>
    </row>
    <row r="6" spans="2:9" x14ac:dyDescent="0.3">
      <c r="C6" s="9" t="s">
        <v>86</v>
      </c>
      <c r="D6" s="40">
        <v>-0.08</v>
      </c>
      <c r="E6" s="40">
        <v>-0.18</v>
      </c>
      <c r="G6" s="16" t="s">
        <v>67</v>
      </c>
      <c r="H6" s="4" t="s">
        <v>59</v>
      </c>
    </row>
    <row r="7" spans="2:9" x14ac:dyDescent="0.3">
      <c r="C7" s="9" t="s">
        <v>87</v>
      </c>
      <c r="D7" s="40">
        <v>-0.05</v>
      </c>
      <c r="E7" s="40">
        <v>-0.12</v>
      </c>
      <c r="G7" s="16" t="s">
        <v>68</v>
      </c>
      <c r="H7" s="4" t="s">
        <v>63</v>
      </c>
    </row>
    <row r="8" spans="2:9" x14ac:dyDescent="0.3">
      <c r="G8" s="16" t="s">
        <v>69</v>
      </c>
      <c r="H8" s="4" t="s">
        <v>60</v>
      </c>
    </row>
    <row r="11" spans="2:9" x14ac:dyDescent="0.3">
      <c r="C11" s="33" t="s">
        <v>90</v>
      </c>
      <c r="D11" s="33"/>
      <c r="E11" s="33"/>
      <c r="F11" s="33"/>
      <c r="G11" s="33"/>
      <c r="H11" s="33"/>
      <c r="I11" s="33"/>
    </row>
    <row r="12" spans="2:9" ht="15.6" x14ac:dyDescent="0.3">
      <c r="C12" s="34" t="s">
        <v>48</v>
      </c>
      <c r="D12" s="34" t="s">
        <v>52</v>
      </c>
      <c r="E12" s="35" t="s">
        <v>51</v>
      </c>
      <c r="F12" s="35" t="s">
        <v>53</v>
      </c>
      <c r="G12" s="35" t="s">
        <v>54</v>
      </c>
      <c r="H12" s="35" t="s">
        <v>56</v>
      </c>
      <c r="I12" s="35" t="s">
        <v>91</v>
      </c>
    </row>
    <row r="13" spans="2:9" x14ac:dyDescent="0.3">
      <c r="C13" s="17" t="s">
        <v>0</v>
      </c>
      <c r="D13" s="10">
        <f>'Credit Scores'!D30*(100% +('Scenario Ananlysis'!$D$4))</f>
        <v>2.7</v>
      </c>
      <c r="E13" s="10">
        <f>'Credit Scores'!E30*(100%+('Scenario Ananlysis'!$D$5))</f>
        <v>4.75</v>
      </c>
      <c r="F13" s="10">
        <f>'Credit Scores'!F30*(100%+('Scenario Ananlysis'!$D$6))</f>
        <v>1.84</v>
      </c>
      <c r="G13" s="10">
        <f>'Credit Scores'!G30*(100% + ('Scenario Ananlysis'!$D$7))</f>
        <v>4.4333333333333336</v>
      </c>
      <c r="H13" s="10">
        <f>0.3*D13+0.4*E13+0.15*F13+0.15*G13</f>
        <v>3.6509999999999998</v>
      </c>
      <c r="I13" s="38" t="s">
        <v>62</v>
      </c>
    </row>
    <row r="14" spans="2:9" x14ac:dyDescent="0.3">
      <c r="C14" s="17" t="s">
        <v>7</v>
      </c>
      <c r="D14" s="10">
        <f>'Credit Scores'!D31*(100% +('Scenario Ananlysis'!$D$4))</f>
        <v>2.1</v>
      </c>
      <c r="E14" s="10">
        <f>'Credit Scores'!E31*(100%+('Scenario Ananlysis'!$D$5))</f>
        <v>3.4833333333333329</v>
      </c>
      <c r="F14" s="10">
        <f>'Credit Scores'!F31*(100%+('Scenario Ananlysis'!$D$6))</f>
        <v>1.84</v>
      </c>
      <c r="G14" s="10">
        <f>'Credit Scores'!G31*(100% + ('Scenario Ananlysis'!$D$7))</f>
        <v>2.8499999999999996</v>
      </c>
      <c r="H14" s="10">
        <f t="shared" ref="H14:H22" si="0">0.3*D14+0.4*E14+0.15*F14+0.15*G14</f>
        <v>2.726833333333333</v>
      </c>
      <c r="I14" s="38" t="s">
        <v>63</v>
      </c>
    </row>
    <row r="15" spans="2:9" x14ac:dyDescent="0.3">
      <c r="C15" s="17" t="s">
        <v>8</v>
      </c>
      <c r="D15" s="10">
        <f>'Credit Scores'!D32*(100% +('Scenario Ananlysis'!$D$4))</f>
        <v>1.8</v>
      </c>
      <c r="E15" s="10">
        <f>'Credit Scores'!E32*(100%+('Scenario Ananlysis'!$D$5))</f>
        <v>1.9</v>
      </c>
      <c r="F15" s="10">
        <f>'Credit Scores'!F32*(100%+('Scenario Ananlysis'!$D$6))</f>
        <v>3.68</v>
      </c>
      <c r="G15" s="10">
        <f>'Credit Scores'!G32*(100% + ('Scenario Ananlysis'!$D$7))</f>
        <v>1.9</v>
      </c>
      <c r="H15" s="10">
        <f t="shared" si="0"/>
        <v>2.137</v>
      </c>
      <c r="I15" s="38" t="s">
        <v>60</v>
      </c>
    </row>
    <row r="16" spans="2:9" x14ac:dyDescent="0.3">
      <c r="C16" s="17" t="s">
        <v>9</v>
      </c>
      <c r="D16" s="10">
        <f>'Credit Scores'!D33*(100% +('Scenario Ananlysis'!$D$4))</f>
        <v>2.1</v>
      </c>
      <c r="E16" s="10">
        <f>'Credit Scores'!E33*(100%+('Scenario Ananlysis'!$D$5))</f>
        <v>1.5833333333333333</v>
      </c>
      <c r="F16" s="10">
        <f>'Credit Scores'!F33*(100%+('Scenario Ananlysis'!$D$6))</f>
        <v>3.68</v>
      </c>
      <c r="G16" s="10">
        <f>'Credit Scores'!G33*(100% + ('Scenario Ananlysis'!$D$7))</f>
        <v>1.9</v>
      </c>
      <c r="H16" s="10">
        <f t="shared" si="0"/>
        <v>2.1003333333333334</v>
      </c>
      <c r="I16" s="38" t="s">
        <v>60</v>
      </c>
    </row>
    <row r="17" spans="3:14" x14ac:dyDescent="0.3">
      <c r="C17" s="17" t="s">
        <v>10</v>
      </c>
      <c r="D17" s="10">
        <f>'Credit Scores'!D34*(100% +('Scenario Ananlysis'!$D$4))</f>
        <v>4.2</v>
      </c>
      <c r="E17" s="10">
        <f>'Credit Scores'!E34*(100%+('Scenario Ananlysis'!$D$5))</f>
        <v>4.75</v>
      </c>
      <c r="F17" s="10">
        <f>'Credit Scores'!F34*(100%+('Scenario Ananlysis'!$D$6))</f>
        <v>4.6000000000000005</v>
      </c>
      <c r="G17" s="10">
        <f>'Credit Scores'!G34*(100% + ('Scenario Ananlysis'!$D$7))</f>
        <v>1.9</v>
      </c>
      <c r="H17" s="10">
        <f t="shared" si="0"/>
        <v>4.1349999999999998</v>
      </c>
      <c r="I17" s="38" t="s">
        <v>61</v>
      </c>
      <c r="J17" s="2"/>
      <c r="K17" s="2"/>
      <c r="L17" s="2"/>
      <c r="M17" s="2"/>
      <c r="N17" s="2"/>
    </row>
    <row r="18" spans="3:14" x14ac:dyDescent="0.3">
      <c r="C18" s="4" t="s">
        <v>11</v>
      </c>
      <c r="D18" s="10">
        <f>'Credit Scores'!D35*(100% +('Scenario Ananlysis'!$D$4))</f>
        <v>3.3</v>
      </c>
      <c r="E18" s="10">
        <f>'Credit Scores'!E35*(100%+('Scenario Ananlysis'!$D$5))</f>
        <v>4.75</v>
      </c>
      <c r="F18" s="10">
        <f>'Credit Scores'!F35*(100%+('Scenario Ananlysis'!$D$6))</f>
        <v>4.6000000000000005</v>
      </c>
      <c r="G18" s="10">
        <f>'Credit Scores'!G35*(100% + ('Scenario Ananlysis'!$D$7))</f>
        <v>3.1666666666666665</v>
      </c>
      <c r="H18" s="10">
        <f t="shared" si="0"/>
        <v>4.0549999999999997</v>
      </c>
      <c r="I18" s="38" t="s">
        <v>61</v>
      </c>
    </row>
    <row r="19" spans="3:14" x14ac:dyDescent="0.3">
      <c r="C19" s="4" t="s">
        <v>12</v>
      </c>
      <c r="D19" s="10">
        <f>'Credit Scores'!D36*(100% +('Scenario Ananlysis'!$D$4))</f>
        <v>3.6</v>
      </c>
      <c r="E19" s="10">
        <f>'Credit Scores'!E36*(100%+('Scenario Ananlysis'!$D$5))</f>
        <v>4.75</v>
      </c>
      <c r="F19" s="10">
        <f>'Credit Scores'!F36*(100%+('Scenario Ananlysis'!$D$6))</f>
        <v>4.6000000000000005</v>
      </c>
      <c r="G19" s="10">
        <f>'Credit Scores'!G36*(100% + ('Scenario Ananlysis'!$D$7))</f>
        <v>2.8499999999999996</v>
      </c>
      <c r="H19" s="10">
        <f t="shared" si="0"/>
        <v>4.0975000000000001</v>
      </c>
      <c r="I19" s="38" t="s">
        <v>61</v>
      </c>
    </row>
    <row r="20" spans="3:14" x14ac:dyDescent="0.3">
      <c r="C20" s="4" t="s">
        <v>13</v>
      </c>
      <c r="D20" s="10">
        <f>'Credit Scores'!D37*(100% +('Scenario Ananlysis'!$D$4))</f>
        <v>2.4</v>
      </c>
      <c r="E20" s="10">
        <f>'Credit Scores'!E37*(100%+('Scenario Ananlysis'!$D$5))</f>
        <v>1.5833333333333333</v>
      </c>
      <c r="F20" s="10">
        <f>'Credit Scores'!F37*(100%+('Scenario Ananlysis'!$D$6))</f>
        <v>2.7600000000000002</v>
      </c>
      <c r="G20" s="10">
        <f>'Credit Scores'!G37*(100% + ('Scenario Ananlysis'!$D$7))</f>
        <v>2.8499999999999996</v>
      </c>
      <c r="H20" s="10">
        <f t="shared" si="0"/>
        <v>2.194833333333333</v>
      </c>
      <c r="I20" s="38" t="s">
        <v>63</v>
      </c>
    </row>
    <row r="21" spans="3:14" x14ac:dyDescent="0.3">
      <c r="C21" s="4" t="s">
        <v>14</v>
      </c>
      <c r="D21" s="10">
        <f>'Credit Scores'!D38*(100% +('Scenario Ananlysis'!$D$4))</f>
        <v>1.8</v>
      </c>
      <c r="E21" s="10">
        <f>'Credit Scores'!E38*(100%+('Scenario Ananlysis'!$D$5))</f>
        <v>4.1166666666666663</v>
      </c>
      <c r="F21" s="10">
        <f>'Credit Scores'!F38*(100%+('Scenario Ananlysis'!$D$6))</f>
        <v>3.68</v>
      </c>
      <c r="G21" s="10">
        <f>'Credit Scores'!G38*(100% + ('Scenario Ananlysis'!$D$7))</f>
        <v>2.5333333333333332</v>
      </c>
      <c r="H21" s="10">
        <f t="shared" si="0"/>
        <v>3.1186666666666665</v>
      </c>
      <c r="I21" s="38" t="s">
        <v>59</v>
      </c>
    </row>
    <row r="22" spans="3:14" x14ac:dyDescent="0.3">
      <c r="C22" s="4" t="s">
        <v>16</v>
      </c>
      <c r="D22" s="10">
        <f>'Credit Scores'!D39*(100% +('Scenario Ananlysis'!$D$4))</f>
        <v>1.2</v>
      </c>
      <c r="E22" s="10">
        <f>'Credit Scores'!E39*(100%+('Scenario Ananlysis'!$D$5))</f>
        <v>3.1666666666666665</v>
      </c>
      <c r="F22" s="10">
        <f>'Credit Scores'!F39*(100%+('Scenario Ananlysis'!$D$6))</f>
        <v>2.7600000000000002</v>
      </c>
      <c r="G22" s="10">
        <f>'Credit Scores'!G39*(100% + ('Scenario Ananlysis'!$D$7))</f>
        <v>1.9</v>
      </c>
      <c r="H22" s="10">
        <f t="shared" si="0"/>
        <v>2.3256666666666668</v>
      </c>
      <c r="I22" s="38" t="s">
        <v>63</v>
      </c>
    </row>
    <row r="25" spans="3:14" x14ac:dyDescent="0.3">
      <c r="C25" s="33" t="s">
        <v>92</v>
      </c>
      <c r="D25" s="33"/>
      <c r="E25" s="33"/>
      <c r="F25" s="33"/>
      <c r="G25" s="33"/>
      <c r="H25" s="33"/>
      <c r="I25" s="33"/>
    </row>
    <row r="26" spans="3:14" ht="15.6" x14ac:dyDescent="0.3">
      <c r="C26" s="35" t="s">
        <v>48</v>
      </c>
      <c r="D26" s="35" t="s">
        <v>52</v>
      </c>
      <c r="E26" s="35" t="s">
        <v>51</v>
      </c>
      <c r="F26" s="35" t="s">
        <v>53</v>
      </c>
      <c r="G26" s="35" t="s">
        <v>54</v>
      </c>
      <c r="H26" s="35" t="s">
        <v>56</v>
      </c>
      <c r="I26" s="35" t="s">
        <v>91</v>
      </c>
    </row>
    <row r="27" spans="3:14" x14ac:dyDescent="0.3">
      <c r="C27" s="4" t="s">
        <v>0</v>
      </c>
      <c r="D27" s="36">
        <f>'Credit Scores'!D30*(100%+('Scenario Ananlysis'!$E$4))</f>
        <v>2.4000000000000004</v>
      </c>
      <c r="E27" s="36">
        <f>'Credit Scores'!E30*(100% +('Scenario Ananlysis'!$E$5))</f>
        <v>4.5</v>
      </c>
      <c r="F27" s="36">
        <f>'Credit Scores'!F30*(100% +('Scenario Ananlysis'!$E$6))</f>
        <v>1.6400000000000001</v>
      </c>
      <c r="G27" s="36">
        <f>'Credit Scores'!G30*(100% +('Scenario Ananlysis'!$E$7))</f>
        <v>4.1066666666666674</v>
      </c>
      <c r="H27" s="36">
        <f>0.3*D27+0.4*E27+0.15*F27+0.15*G27</f>
        <v>3.3820000000000001</v>
      </c>
      <c r="I27" s="37" t="s">
        <v>62</v>
      </c>
    </row>
    <row r="28" spans="3:14" x14ac:dyDescent="0.3">
      <c r="C28" s="4" t="s">
        <v>7</v>
      </c>
      <c r="D28" s="36">
        <f>'Credit Scores'!D31*(100%+('Scenario Ananlysis'!$E$4))</f>
        <v>1.8666666666666669</v>
      </c>
      <c r="E28" s="36">
        <f>'Credit Scores'!E31*(100% +('Scenario Ananlysis'!$E$5))</f>
        <v>3.3</v>
      </c>
      <c r="F28" s="36">
        <f>'Credit Scores'!F31*(100% +('Scenario Ananlysis'!$E$6))</f>
        <v>1.6400000000000001</v>
      </c>
      <c r="G28" s="36">
        <f>'Credit Scores'!G31*(100% +('Scenario Ananlysis'!$E$7))</f>
        <v>2.64</v>
      </c>
      <c r="H28" s="36">
        <f t="shared" ref="H28:H36" si="1">0.3*D28+0.4*E28+0.15*F28+0.15*G28</f>
        <v>2.5220000000000002</v>
      </c>
      <c r="I28" s="37" t="s">
        <v>59</v>
      </c>
    </row>
    <row r="29" spans="3:14" x14ac:dyDescent="0.3">
      <c r="C29" s="4" t="s">
        <v>8</v>
      </c>
      <c r="D29" s="36">
        <f>'Credit Scores'!D32*(100%+('Scenario Ananlysis'!$E$4))</f>
        <v>1.6</v>
      </c>
      <c r="E29" s="36">
        <f>'Credit Scores'!E32*(100% +('Scenario Ananlysis'!$E$5))</f>
        <v>1.8</v>
      </c>
      <c r="F29" s="36">
        <f>'Credit Scores'!F32*(100% +('Scenario Ananlysis'!$E$6))</f>
        <v>3.2800000000000002</v>
      </c>
      <c r="G29" s="36">
        <f>'Credit Scores'!G32*(100% +('Scenario Ananlysis'!$E$7))</f>
        <v>1.76</v>
      </c>
      <c r="H29" s="36">
        <f t="shared" si="1"/>
        <v>1.9560000000000002</v>
      </c>
      <c r="I29" s="37" t="s">
        <v>60</v>
      </c>
    </row>
    <row r="30" spans="3:14" x14ac:dyDescent="0.3">
      <c r="C30" s="4" t="s">
        <v>9</v>
      </c>
      <c r="D30" s="36">
        <f>'Credit Scores'!D33*(100%+('Scenario Ananlysis'!$E$4))</f>
        <v>1.8666666666666669</v>
      </c>
      <c r="E30" s="36">
        <f>'Credit Scores'!E33*(100% +('Scenario Ananlysis'!$E$5))</f>
        <v>1.5</v>
      </c>
      <c r="F30" s="36">
        <f>'Credit Scores'!F33*(100% +('Scenario Ananlysis'!$E$6))</f>
        <v>3.2800000000000002</v>
      </c>
      <c r="G30" s="36">
        <f>'Credit Scores'!G33*(100% +('Scenario Ananlysis'!$E$7))</f>
        <v>1.76</v>
      </c>
      <c r="H30" s="36">
        <f t="shared" si="1"/>
        <v>1.9160000000000001</v>
      </c>
      <c r="I30" s="37" t="s">
        <v>60</v>
      </c>
    </row>
    <row r="31" spans="3:14" x14ac:dyDescent="0.3">
      <c r="C31" s="4" t="s">
        <v>10</v>
      </c>
      <c r="D31" s="36">
        <f>'Credit Scores'!D34*(100%+('Scenario Ananlysis'!$E$4))</f>
        <v>3.7333333333333338</v>
      </c>
      <c r="E31" s="36">
        <f>'Credit Scores'!E34*(100% +('Scenario Ananlysis'!$E$5))</f>
        <v>4.5</v>
      </c>
      <c r="F31" s="36">
        <f>'Credit Scores'!F34*(100% +('Scenario Ananlysis'!$E$6))</f>
        <v>4.1000000000000005</v>
      </c>
      <c r="G31" s="36">
        <f>'Credit Scores'!G34*(100% +('Scenario Ananlysis'!$E$7))</f>
        <v>1.76</v>
      </c>
      <c r="H31" s="36">
        <f t="shared" si="1"/>
        <v>3.7990000000000004</v>
      </c>
      <c r="I31" s="37" t="s">
        <v>58</v>
      </c>
    </row>
    <row r="32" spans="3:14" x14ac:dyDescent="0.3">
      <c r="C32" s="4" t="s">
        <v>11</v>
      </c>
      <c r="D32" s="36">
        <f>'Credit Scores'!D35*(100%+('Scenario Ananlysis'!$E$4))</f>
        <v>2.9333333333333336</v>
      </c>
      <c r="E32" s="36">
        <f>'Credit Scores'!E35*(100% +('Scenario Ananlysis'!$E$5))</f>
        <v>4.5</v>
      </c>
      <c r="F32" s="36">
        <f>'Credit Scores'!F35*(100% +('Scenario Ananlysis'!$E$6))</f>
        <v>4.1000000000000005</v>
      </c>
      <c r="G32" s="36">
        <f>'Credit Scores'!G35*(100% +('Scenario Ananlysis'!$E$7))</f>
        <v>2.9333333333333336</v>
      </c>
      <c r="H32" s="36">
        <f t="shared" si="1"/>
        <v>3.7350000000000003</v>
      </c>
      <c r="I32" s="37" t="s">
        <v>58</v>
      </c>
    </row>
    <row r="33" spans="3:9" x14ac:dyDescent="0.3">
      <c r="C33" s="4" t="s">
        <v>12</v>
      </c>
      <c r="D33" s="36">
        <f>'Credit Scores'!D36*(100%+('Scenario Ananlysis'!$E$4))</f>
        <v>3.2</v>
      </c>
      <c r="E33" s="36">
        <f>'Credit Scores'!E36*(100% +('Scenario Ananlysis'!$E$5))</f>
        <v>4.5</v>
      </c>
      <c r="F33" s="36">
        <f>'Credit Scores'!F36*(100% +('Scenario Ananlysis'!$E$6))</f>
        <v>4.1000000000000005</v>
      </c>
      <c r="G33" s="36">
        <f>'Credit Scores'!G36*(100% +('Scenario Ananlysis'!$E$7))</f>
        <v>2.64</v>
      </c>
      <c r="H33" s="36">
        <f t="shared" si="1"/>
        <v>3.7709999999999999</v>
      </c>
      <c r="I33" s="37" t="s">
        <v>58</v>
      </c>
    </row>
    <row r="34" spans="3:9" x14ac:dyDescent="0.3">
      <c r="C34" s="4" t="s">
        <v>13</v>
      </c>
      <c r="D34" s="36">
        <f>'Credit Scores'!D37*(100%+('Scenario Ananlysis'!$E$4))</f>
        <v>2.1333333333333333</v>
      </c>
      <c r="E34" s="36">
        <f>'Credit Scores'!E37*(100% +('Scenario Ananlysis'!$E$5))</f>
        <v>1.5</v>
      </c>
      <c r="F34" s="36">
        <f>'Credit Scores'!F37*(100% +('Scenario Ananlysis'!$E$6))</f>
        <v>2.46</v>
      </c>
      <c r="G34" s="36">
        <f>'Credit Scores'!G37*(100% +('Scenario Ananlysis'!$E$7))</f>
        <v>2.64</v>
      </c>
      <c r="H34" s="36">
        <f t="shared" si="1"/>
        <v>2.0050000000000003</v>
      </c>
      <c r="I34" s="37" t="s">
        <v>63</v>
      </c>
    </row>
    <row r="35" spans="3:9" x14ac:dyDescent="0.3">
      <c r="C35" s="4" t="s">
        <v>14</v>
      </c>
      <c r="D35" s="36">
        <f>'Credit Scores'!D38*(100%+('Scenario Ananlysis'!$E$4))</f>
        <v>1.6</v>
      </c>
      <c r="E35" s="36">
        <f>'Credit Scores'!E38*(100% +('Scenario Ananlysis'!$E$5))</f>
        <v>3.9</v>
      </c>
      <c r="F35" s="36">
        <f>'Credit Scores'!F38*(100% +('Scenario Ananlysis'!$E$6))</f>
        <v>3.2800000000000002</v>
      </c>
      <c r="G35" s="36">
        <f>'Credit Scores'!G38*(100% +('Scenario Ananlysis'!$E$7))</f>
        <v>2.3466666666666667</v>
      </c>
      <c r="H35" s="36">
        <f t="shared" si="1"/>
        <v>2.8839999999999999</v>
      </c>
      <c r="I35" s="37" t="s">
        <v>59</v>
      </c>
    </row>
    <row r="36" spans="3:9" x14ac:dyDescent="0.3">
      <c r="C36" s="4" t="s">
        <v>16</v>
      </c>
      <c r="D36" s="36">
        <f>'Credit Scores'!D39*(100%+('Scenario Ananlysis'!$E$4))</f>
        <v>1.0666666666666667</v>
      </c>
      <c r="E36" s="36">
        <f>'Credit Scores'!E39*(100% +('Scenario Ananlysis'!$E$5))</f>
        <v>3</v>
      </c>
      <c r="F36" s="36">
        <f>'Credit Scores'!F39*(100% +('Scenario Ananlysis'!$E$6))</f>
        <v>2.46</v>
      </c>
      <c r="G36" s="36">
        <f>'Credit Scores'!G39*(100% +('Scenario Ananlysis'!$E$7))</f>
        <v>1.76</v>
      </c>
      <c r="H36" s="36">
        <f t="shared" si="1"/>
        <v>2.1530000000000005</v>
      </c>
      <c r="I36" s="37" t="s">
        <v>63</v>
      </c>
    </row>
  </sheetData>
  <mergeCells count="2">
    <mergeCell ref="C11:I11"/>
    <mergeCell ref="C25:I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3B3-C969-4667-A8D9-C41CEF17D0B2}">
  <dimension ref="E1:P50"/>
  <sheetViews>
    <sheetView workbookViewId="0">
      <selection activeCell="R23" sqref="R23"/>
    </sheetView>
  </sheetViews>
  <sheetFormatPr defaultRowHeight="14.4" x14ac:dyDescent="0.3"/>
  <sheetData>
    <row r="1" spans="5:16" x14ac:dyDescent="0.3">
      <c r="E1">
        <v>8.6152290118464897E-2</v>
      </c>
      <c r="F1">
        <v>0.1623678350743053</v>
      </c>
      <c r="G1">
        <f>'Raw Financial Data'!F2/'Raw Financial Data'!G2</f>
        <v>0.11957566747487444</v>
      </c>
      <c r="H1">
        <f>'Raw Financial Data'!I2/'Raw Financial Data'!M2</f>
        <v>1.6981640723672621E-4</v>
      </c>
      <c r="I1">
        <f>'Raw Financial Data'!D2/'Raw Financial Data'!N2</f>
        <v>180.77075098814228</v>
      </c>
      <c r="J1">
        <f>'Raw Financial Data'!I2/'Raw Financial Data'!G2</f>
        <v>1.2506116272489515E-4</v>
      </c>
      <c r="K1">
        <f>'Raw Financial Data'!J2/'Raw Financial Data'!K2</f>
        <v>0.87374739592528516</v>
      </c>
      <c r="L1">
        <f>('Raw Financial Data'!J2-'Raw Financial Data'!L2)/'Raw Financial Data'!K2</f>
        <v>0.63910878853147846</v>
      </c>
      <c r="M1">
        <f>'Raw Financial Data'!C2/'Raw Financial Data'!G2</f>
        <v>1.3879569226824995</v>
      </c>
      <c r="N1">
        <v>19.110004213567688</v>
      </c>
      <c r="O1">
        <f>'Raw Financial Data'!P2/'Raw Financial Data'!I2</f>
        <v>825.11249999999995</v>
      </c>
    </row>
    <row r="2" spans="5:16" x14ac:dyDescent="0.3">
      <c r="E2">
        <v>4.2992628252013602E-2</v>
      </c>
      <c r="F2">
        <v>7.011123460471505E-2</v>
      </c>
      <c r="G2">
        <f>'Raw Financial Data'!F3/'Raw Financial Data'!G3</f>
        <v>0.83331543335839331</v>
      </c>
      <c r="H2">
        <f>'Raw Financial Data'!I3/'Raw Financial Data'!M3</f>
        <v>5.9457652235987235E-4</v>
      </c>
      <c r="I2">
        <f>'Raw Financial Data'!D3/'Raw Financial Data'!N3</f>
        <v>60.132701421800952</v>
      </c>
      <c r="J2">
        <f>'Raw Financial Data'!I3/'Raw Financial Data'!G3</f>
        <v>7.0669101063258509E-3</v>
      </c>
      <c r="K2">
        <f>'Raw Financial Data'!J3/'Raw Financial Data'!K3</f>
        <v>0.986483390607102</v>
      </c>
      <c r="L2">
        <f>('Raw Financial Data'!J3-'Raw Financial Data'!L3)/'Raw Financial Data'!K3</f>
        <v>0.77898786970951928</v>
      </c>
      <c r="M2">
        <f>'Raw Financial Data'!C3/'Raw Financial Data'!G3</f>
        <v>19.38275158414778</v>
      </c>
      <c r="N2">
        <v>20.049089828157289</v>
      </c>
      <c r="O2">
        <f>'Raw Financial Data'!P3/'Raw Financial Data'!I3</f>
        <v>55.942249240121583</v>
      </c>
    </row>
    <row r="3" spans="5:16" x14ac:dyDescent="0.3">
      <c r="E3">
        <v>6.8488123220234648E-2</v>
      </c>
      <c r="F3">
        <v>0.13288278446965834</v>
      </c>
      <c r="G3">
        <f>'Raw Financial Data'!F4/'Raw Financial Data'!G4</f>
        <v>9.7060294171535846E-2</v>
      </c>
      <c r="H3">
        <f>'Raw Financial Data'!I4/'Raw Financial Data'!M4</f>
        <v>4.0296935005413378E-4</v>
      </c>
      <c r="I3">
        <f>'Raw Financial Data'!D4/'Raw Financial Data'!N4</f>
        <v>71.314438502673795</v>
      </c>
      <c r="J3">
        <f>'Raw Financial Data'!I4/'Raw Financial Data'!G4</f>
        <v>2.943370265340692E-4</v>
      </c>
      <c r="K3">
        <f>'Raw Financial Data'!J4/'Raw Financial Data'!K4</f>
        <v>0.57768074281479864</v>
      </c>
      <c r="L3">
        <f>('Raw Financial Data'!J4-'Raw Financial Data'!L4)/'Raw Financial Data'!K4</f>
        <v>0.36464865993942502</v>
      </c>
      <c r="M3">
        <f>'Raw Financial Data'!C4/'Raw Financial Data'!G4</f>
        <v>1.4171843176286603</v>
      </c>
      <c r="N3">
        <v>23.562348064177691</v>
      </c>
      <c r="O3">
        <f>'Raw Financial Data'!P4/'Raw Financial Data'!I4</f>
        <v>371.54216867469881</v>
      </c>
    </row>
    <row r="4" spans="5:16" x14ac:dyDescent="0.3">
      <c r="E4">
        <v>9.2254890024882741E-2</v>
      </c>
      <c r="F4">
        <v>0.15750618898594049</v>
      </c>
      <c r="G4">
        <f>'Raw Financial Data'!F5/'Raw Financial Data'!G5</f>
        <v>0.11697936153181022</v>
      </c>
      <c r="H4">
        <f>'Raw Financial Data'!I5/'Raw Financial Data'!M5</f>
        <v>7.9055537390816948E-4</v>
      </c>
      <c r="I4">
        <f>'Raw Financial Data'!D5/'Raw Financial Data'!N5</f>
        <v>118.15030991735539</v>
      </c>
      <c r="J4">
        <f>'Raw Financial Data'!I5/'Raw Financial Data'!G5</f>
        <v>5.8714304174786497E-4</v>
      </c>
      <c r="K4">
        <f>'Raw Financial Data'!J5/'Raw Financial Data'!K5</f>
        <v>0.87214759669849495</v>
      </c>
      <c r="L4">
        <f>('Raw Financial Data'!J5-'Raw Financial Data'!L5)/'Raw Financial Data'!K5</f>
        <v>0.66722539477030485</v>
      </c>
      <c r="M4">
        <f>'Raw Financial Data'!C5/'Raw Financial Data'!G5</f>
        <v>1.26800174495096</v>
      </c>
      <c r="N4">
        <v>22.382623729378437</v>
      </c>
      <c r="O4">
        <f>'Raw Financial Data'!P5/'Raw Financial Data'!I5</f>
        <v>248.16986706056127</v>
      </c>
    </row>
    <row r="5" spans="5:16" x14ac:dyDescent="0.3">
      <c r="E5">
        <v>9.1669506274849211E-2</v>
      </c>
      <c r="F5">
        <v>0.15066723884792069</v>
      </c>
      <c r="G5">
        <f>'Raw Financial Data'!F6/'Raw Financial Data'!G6</f>
        <v>0.10987397250309158</v>
      </c>
      <c r="H5">
        <f>'Raw Financial Data'!I6/'Raw Financial Data'!M6</f>
        <v>6.0889506327417217E-4</v>
      </c>
      <c r="I5">
        <f>'Raw Financial Data'!D6/'Raw Financial Data'!N6</f>
        <v>130.90834191555101</v>
      </c>
      <c r="J5">
        <f>'Raw Financial Data'!I6/'Raw Financial Data'!G6</f>
        <v>4.4403627458112073E-4</v>
      </c>
      <c r="K5">
        <f>'Raw Financial Data'!J6/'Raw Financial Data'!K6</f>
        <v>0.9657741940759883</v>
      </c>
      <c r="L5">
        <f>('Raw Financial Data'!J6-'Raw Financial Data'!L6)/'Raw Financial Data'!K6</f>
        <v>0.73963461507008388</v>
      </c>
      <c r="M5">
        <f>'Raw Financial Data'!C6/'Raw Financial Data'!G6</f>
        <v>1.1985880252661185</v>
      </c>
      <c r="N5">
        <v>19.09803536827647</v>
      </c>
      <c r="O5">
        <f>'Raw Financial Data'!P6/'Raw Financial Data'!I6</f>
        <v>275.36177474402729</v>
      </c>
      <c r="P5">
        <f>(('Raw Financial Data'!C6/'Raw Financial Data'!C3)^(1/3)) - 1</f>
        <v>0.20574586111618398</v>
      </c>
    </row>
    <row r="6" spans="5:16" x14ac:dyDescent="0.3">
      <c r="E6">
        <v>-9.4425330341070701E-2</v>
      </c>
      <c r="F6">
        <v>-0.47487620797916136</v>
      </c>
      <c r="G6">
        <f>'Raw Financial Data'!F7/'Raw Financial Data'!G7</f>
        <v>-9.4294736380013192E-2</v>
      </c>
      <c r="H6">
        <f>'Raw Financial Data'!I7/'Raw Financial Data'!M7</f>
        <v>1.169202746108817</v>
      </c>
      <c r="I6">
        <f>'Raw Financial Data'!D7/'Raw Financial Data'!N7</f>
        <v>-0.35111311777168058</v>
      </c>
      <c r="J6">
        <f>'Raw Financial Data'!I7/'Raw Financial Data'!G7</f>
        <v>0.23216506295037717</v>
      </c>
      <c r="K6">
        <f>'Raw Financial Data'!J7/'Raw Financial Data'!K7</f>
        <v>0.84857239674865703</v>
      </c>
      <c r="L6">
        <f>('Raw Financial Data'!J7-'Raw Financial Data'!L7)/'Raw Financial Data'!K7</f>
        <v>0.58035832201902648</v>
      </c>
      <c r="M6">
        <f>'Raw Financial Data'!C7/'Raw Financial Data'!G7</f>
        <v>0.99861696050640447</v>
      </c>
      <c r="N6">
        <v>5.872232929278999</v>
      </c>
      <c r="O6">
        <f>'Raw Financial Data'!P7/'Raw Financial Data'!I7</f>
        <v>0.26616560761194963</v>
      </c>
    </row>
    <row r="7" spans="5:16" x14ac:dyDescent="0.3">
      <c r="E7">
        <v>-4.0627695366942745E-2</v>
      </c>
      <c r="F7">
        <v>-0.23430127190404709</v>
      </c>
      <c r="G7">
        <f>'Raw Financial Data'!F8/'Raw Financial Data'!G8</f>
        <v>-3.4770006055707098E-2</v>
      </c>
      <c r="H7">
        <f>'Raw Financial Data'!I8/'Raw Financial Data'!M8</f>
        <v>2.124036959143845</v>
      </c>
      <c r="I7">
        <f>'Raw Financial Data'!D8/'Raw Financial Data'!N8</f>
        <v>2.91500731325428</v>
      </c>
      <c r="J7">
        <f>'Raw Financial Data'!I8/'Raw Financial Data'!G8</f>
        <v>0.31520434068416819</v>
      </c>
      <c r="K7">
        <f>'Raw Financial Data'!J8/'Raw Financial Data'!K8</f>
        <v>0.97541013470614202</v>
      </c>
      <c r="L7">
        <f>('Raw Financial Data'!J8-'Raw Financial Data'!L8)/'Raw Financial Data'!K8</f>
        <v>0.7415391311059305</v>
      </c>
      <c r="M7">
        <f>'Raw Financial Data'!C8/'Raw Financial Data'!G8</f>
        <v>0.85582029060890719</v>
      </c>
      <c r="N7">
        <v>6.0238391570569414</v>
      </c>
      <c r="O7">
        <f>'Raw Financial Data'!P8/'Raw Financial Data'!I8</f>
        <v>0.13770351231532174</v>
      </c>
    </row>
    <row r="8" spans="5:16" x14ac:dyDescent="0.3">
      <c r="E8">
        <v>6.8418419347447733E-3</v>
      </c>
      <c r="F8">
        <v>4.5899477010337163E-2</v>
      </c>
      <c r="G8">
        <f>'Raw Financial Data'!F9/'Raw Financial Data'!G9</f>
        <v>7.2138466031002133E-3</v>
      </c>
      <c r="H8">
        <f>'Raw Financial Data'!I9/'Raw Financial Data'!M9</f>
        <v>1.8301368206662001</v>
      </c>
      <c r="I8">
        <f>'Raw Financial Data'!D9/'Raw Financial Data'!N9</f>
        <v>3.7631260341812802</v>
      </c>
      <c r="J8">
        <f>'Raw Financial Data'!I9/'Raw Financial Data'!G9</f>
        <v>0.28763565833218868</v>
      </c>
      <c r="K8">
        <f>'Raw Financial Data'!J9/'Raw Financial Data'!K9</f>
        <v>0.97209111451509878</v>
      </c>
      <c r="L8">
        <f>('Raw Financial Data'!J9-'Raw Financial Data'!L9)/'Raw Financial Data'!K9</f>
        <v>0.70919946824859859</v>
      </c>
      <c r="M8">
        <f>'Raw Financial Data'!C9/'Raw Financial Data'!G9</f>
        <v>1.0543720056533747</v>
      </c>
      <c r="N8">
        <v>7.0377451469970742</v>
      </c>
      <c r="O8">
        <f>'Raw Financial Data'!P9/'Raw Financial Data'!I9</f>
        <v>0.36761301957215708</v>
      </c>
    </row>
    <row r="9" spans="5:16" x14ac:dyDescent="0.3">
      <c r="E9">
        <v>7.1297681843262725E-2</v>
      </c>
      <c r="F9">
        <v>0.33728274647130857</v>
      </c>
      <c r="G9">
        <f>'Raw Financial Data'!F10/'Raw Financial Data'!G10</f>
        <v>8.4972166669823906E-2</v>
      </c>
      <c r="H9">
        <f>'Raw Financial Data'!I10/'Raw Financial Data'!M10</f>
        <v>0.74998388725374354</v>
      </c>
      <c r="I9">
        <f>'Raw Financial Data'!D10/'Raw Financial Data'!N10</f>
        <v>8.2454569396892285</v>
      </c>
      <c r="J9">
        <f>'Raw Financial Data'!I10/'Raw Financial Data'!G10</f>
        <v>0.1889446066664682</v>
      </c>
      <c r="K9">
        <f>'Raw Financial Data'!J10/'Raw Financial Data'!K10</f>
        <v>0.96991060731729795</v>
      </c>
      <c r="L9">
        <f>('Raw Financial Data'!J10-'Raw Financial Data'!L10)/'Raw Financial Data'!K10</f>
        <v>0.69465947838908859</v>
      </c>
      <c r="M9">
        <f>'Raw Financial Data'!C10/'Raw Financial Data'!G10</f>
        <v>1.1917942417345699</v>
      </c>
      <c r="N9">
        <v>7.1942129164017778</v>
      </c>
      <c r="O9">
        <f>'Raw Financial Data'!P10/'Raw Financial Data'!I10</f>
        <v>0.97272948624299971</v>
      </c>
    </row>
    <row r="10" spans="5:16" x14ac:dyDescent="0.3">
      <c r="E10">
        <v>6.1544517495848008E-2</v>
      </c>
      <c r="F10">
        <v>0.22671358978118838</v>
      </c>
      <c r="G10">
        <f>'Raw Financial Data'!F11/'Raw Financial Data'!G11</f>
        <v>7.3824915842779185E-2</v>
      </c>
      <c r="H10">
        <f>'Raw Financial Data'!I11/'Raw Financial Data'!M11</f>
        <v>0.38987731560682343</v>
      </c>
      <c r="I10">
        <f>'Raw Financial Data'!D11/'Raw Financial Data'!N11</f>
        <v>13.179224867204407</v>
      </c>
      <c r="J10">
        <f>'Raw Financial Data'!I11/'Raw Financial Data'!G11</f>
        <v>0.12695604194464855</v>
      </c>
      <c r="K10">
        <f>'Raw Financial Data'!J11/'Raw Financial Data'!K11</f>
        <v>0.96184996760336927</v>
      </c>
      <c r="L10">
        <f>('Raw Financial Data'!J11-'Raw Financial Data'!L11)/'Raw Financial Data'!K11</f>
        <v>0.67826546039211921</v>
      </c>
      <c r="M10">
        <f>'Raw Financial Data'!C11/'Raw Financial Data'!G11</f>
        <v>1.19953683685569</v>
      </c>
      <c r="N10">
        <v>6.7151288174463746</v>
      </c>
      <c r="O10">
        <f>'Raw Financial Data'!P11/'Raw Financial Data'!I11</f>
        <v>1.3184980881338932</v>
      </c>
      <c r="P10">
        <f>(('Raw Financial Data'!C11/'Raw Financial Data'!C8)^(1/3)) - 1</f>
        <v>0.17099416795121836</v>
      </c>
    </row>
    <row r="11" spans="5:16" x14ac:dyDescent="0.3">
      <c r="E11">
        <v>4.933503703148881E-2</v>
      </c>
      <c r="F11">
        <v>0.10995081497220542</v>
      </c>
      <c r="G11">
        <f>'Raw Financial Data'!F12/'Raw Financial Data'!G12</f>
        <v>3.2834047795565174E-2</v>
      </c>
      <c r="H11">
        <f>'Raw Financial Data'!I12/'Raw Financial Data'!M12</f>
        <v>0.90034312441797293</v>
      </c>
      <c r="I11">
        <f>'Raw Financial Data'!D12/'Raw Financial Data'!N12</f>
        <v>3.5613848865344973</v>
      </c>
      <c r="J11">
        <f>'Raw Financial Data'!I12/'Raw Financial Data'!G12</f>
        <v>0.26886484822346418</v>
      </c>
      <c r="K11">
        <f>'Raw Financial Data'!J12/'Raw Financial Data'!K12</f>
        <v>1.1842148681788376</v>
      </c>
      <c r="L11">
        <f>('Raw Financial Data'!J12-'Raw Financial Data'!L12)/'Raw Financial Data'!K12</f>
        <v>0.97605415383523386</v>
      </c>
      <c r="M11">
        <f>'Raw Financial Data'!C12/'Raw Financial Data'!G12</f>
        <v>0.66553203911873748</v>
      </c>
      <c r="N11">
        <v>6.0606074018701399</v>
      </c>
      <c r="O11">
        <f>'Raw Financial Data'!P12/'Raw Financial Data'!I12</f>
        <v>-9.9877613858513167E-2</v>
      </c>
    </row>
    <row r="12" spans="5:16" x14ac:dyDescent="0.3">
      <c r="E12">
        <v>7.0311655655772076E-2</v>
      </c>
      <c r="F12">
        <v>0.11574641277488215</v>
      </c>
      <c r="G12">
        <f>'Raw Financial Data'!F13/'Raw Financial Data'!G13</f>
        <v>3.8154055412864284E-2</v>
      </c>
      <c r="H12">
        <f>'Raw Financial Data'!I13/'Raw Financial Data'!M13</f>
        <v>0.89850200421432302</v>
      </c>
      <c r="I12">
        <f>'Raw Financial Data'!D13/'Raw Financial Data'!N13</f>
        <v>3.5645958091290439</v>
      </c>
      <c r="J12">
        <f>'Raw Financial Data'!I13/'Raw Financial Data'!G13</f>
        <v>0.29617760443287139</v>
      </c>
      <c r="K12">
        <f>'Raw Financial Data'!J13/'Raw Financial Data'!K13</f>
        <v>1.3350547084981914</v>
      </c>
      <c r="L12">
        <f>('Raw Financial Data'!J13-'Raw Financial Data'!L13)/'Raw Financial Data'!K13</f>
        <v>1.1290471754980118</v>
      </c>
      <c r="M12">
        <f>'Raw Financial Data'!C13/'Raw Financial Data'!G13</f>
        <v>0.54264197105038747</v>
      </c>
      <c r="N12">
        <v>5.3116433335460531</v>
      </c>
      <c r="O12">
        <f>'Raw Financial Data'!P13/'Raw Financial Data'!I13</f>
        <v>0.18111991532701979</v>
      </c>
    </row>
    <row r="13" spans="5:16" x14ac:dyDescent="0.3">
      <c r="E13">
        <v>8.0974602965333042E-2</v>
      </c>
      <c r="F13">
        <v>0.15326739126124686</v>
      </c>
      <c r="G13">
        <f>'Raw Financial Data'!F14/'Raw Financial Data'!G14</f>
        <v>5.0329657666788243E-2</v>
      </c>
      <c r="H13">
        <f>'Raw Financial Data'!I14/'Raw Financial Data'!M14</f>
        <v>0.86326876122411766</v>
      </c>
      <c r="I13">
        <f>'Raw Financial Data'!D14/'Raw Financial Data'!N14</f>
        <v>4.159174571590305</v>
      </c>
      <c r="J13">
        <f>'Raw Financial Data'!I14/'Raw Financial Data'!G14</f>
        <v>0.28347857211704169</v>
      </c>
      <c r="K13">
        <f>'Raw Financial Data'!J14/'Raw Financial Data'!K14</f>
        <v>1.293938841370309</v>
      </c>
      <c r="L13">
        <f>('Raw Financial Data'!J14-'Raw Financial Data'!L14)/'Raw Financial Data'!K14</f>
        <v>1.0551302426585885</v>
      </c>
      <c r="M13">
        <f>'Raw Financial Data'!C14/'Raw Financial Data'!G14</f>
        <v>0.62154868098995741</v>
      </c>
      <c r="N13">
        <v>6.0826641369185168</v>
      </c>
      <c r="O13">
        <f>'Raw Financial Data'!P14/'Raw Financial Data'!I14</f>
        <v>-0.12215564560733927</v>
      </c>
    </row>
    <row r="14" spans="5:16" x14ac:dyDescent="0.3">
      <c r="E14">
        <v>7.91469805470187E-2</v>
      </c>
      <c r="F14">
        <v>0.1416885250003552</v>
      </c>
      <c r="G14">
        <f>'Raw Financial Data'!F15/'Raw Financial Data'!G15</f>
        <v>4.8008505731083964E-2</v>
      </c>
      <c r="H14">
        <f>'Raw Financial Data'!I15/'Raw Financial Data'!M15</f>
        <v>0.88686861625274238</v>
      </c>
      <c r="I14">
        <f>'Raw Financial Data'!D15/'Raw Financial Data'!N15</f>
        <v>3.7645552141299454</v>
      </c>
      <c r="J14">
        <f>'Raw Financial Data'!I15/'Raw Financial Data'!G15</f>
        <v>0.30049883747453476</v>
      </c>
      <c r="K14">
        <f>'Raw Financial Data'!J15/'Raw Financial Data'!K15</f>
        <v>1.3007451785774562</v>
      </c>
      <c r="L14">
        <f>('Raw Financial Data'!J15-'Raw Financial Data'!L15)/'Raw Financial Data'!K15</f>
        <v>1.0546625781894789</v>
      </c>
      <c r="M14">
        <f>'Raw Financial Data'!C15/'Raw Financial Data'!G15</f>
        <v>0.60657406510364142</v>
      </c>
      <c r="N14">
        <v>5.4420049518358358</v>
      </c>
      <c r="O14">
        <f>'Raw Financial Data'!P15/'Raw Financial Data'!I15</f>
        <v>-7.9819393903133556E-2</v>
      </c>
    </row>
    <row r="15" spans="5:16" x14ac:dyDescent="0.3">
      <c r="E15">
        <v>7.9354055983426916E-2</v>
      </c>
      <c r="F15">
        <v>0.13876404681299689</v>
      </c>
      <c r="G15">
        <f>'Raw Financial Data'!F16/'Raw Financial Data'!G16</f>
        <v>4.684233172070492E-2</v>
      </c>
      <c r="H15">
        <f>'Raw Financial Data'!I16/'Raw Financial Data'!M16</f>
        <v>0.88949684818403385</v>
      </c>
      <c r="I15">
        <f>'Raw Financial Data'!D16/'Raw Financial Data'!N16</f>
        <v>3.7691500640179498</v>
      </c>
      <c r="J15">
        <f>'Raw Financial Data'!I16/'Raw Financial Data'!G16</f>
        <v>0.30026586413488404</v>
      </c>
      <c r="K15">
        <f>'Raw Financial Data'!J16/'Raw Financial Data'!K16</f>
        <v>1.4013557714227132</v>
      </c>
      <c r="L15">
        <f>('Raw Financial Data'!J16-'Raw Financial Data'!L16)/'Raw Financial Data'!K16</f>
        <v>1.1762619100261387</v>
      </c>
      <c r="M15">
        <f>'Raw Financial Data'!C16/'Raw Financial Data'!G16</f>
        <v>0.59029536852518205</v>
      </c>
      <c r="N15">
        <v>5.5349201210645038</v>
      </c>
      <c r="O15">
        <f>'Raw Financial Data'!P16/'Raw Financial Data'!I16</f>
        <v>3.8319405318680028E-2</v>
      </c>
      <c r="P15">
        <f>(('Raw Financial Data'!C16/'Raw Financial Data'!C12)^(1/3))-1</f>
        <v>0.14781330970314466</v>
      </c>
    </row>
    <row r="16" spans="5:16" x14ac:dyDescent="0.3">
      <c r="E16">
        <v>6.1507697560966947E-2</v>
      </c>
      <c r="F16">
        <v>0.21166644943710389</v>
      </c>
      <c r="G16">
        <f>'Raw Financial Data'!F17/'Raw Financial Data'!G17</f>
        <v>5.3128897703805175E-2</v>
      </c>
      <c r="H16">
        <f>'Raw Financial Data'!I17/'Raw Financial Data'!M17</f>
        <v>1.3247252724873328</v>
      </c>
      <c r="I16">
        <f>'Raw Financial Data'!D17/'Raw Financial Data'!N17</f>
        <v>3.3612871445308339</v>
      </c>
      <c r="J16">
        <f>'Raw Financial Data'!I17/'Raw Financial Data'!G17</f>
        <v>0.33250991678082892</v>
      </c>
      <c r="K16">
        <f>'Raw Financial Data'!J17/'Raw Financial Data'!K17</f>
        <v>1.0764273623029581</v>
      </c>
      <c r="L16">
        <f>('Raw Financial Data'!J17-'Raw Financial Data'!L17)/'Raw Financial Data'!K17</f>
        <v>0.87568045349432644</v>
      </c>
      <c r="M16">
        <f>'Raw Financial Data'!C17/'Raw Financial Data'!G17</f>
        <v>0.86377640215102125</v>
      </c>
      <c r="N16">
        <v>8.2782330653599434</v>
      </c>
      <c r="O16">
        <f>'Raw Financial Data'!P17/'Raw Financial Data'!I17</f>
        <v>-0.28790090432870985</v>
      </c>
    </row>
    <row r="17" spans="5:16" x14ac:dyDescent="0.3">
      <c r="E17">
        <v>-1.3410222447921848E-2</v>
      </c>
      <c r="F17">
        <v>-4.174660309004722E-2</v>
      </c>
      <c r="G17">
        <f>'Raw Financial Data'!F18/'Raw Financial Data'!G18</f>
        <v>-8.2299738488742624E-3</v>
      </c>
      <c r="H17">
        <f>'Raw Financial Data'!I18/'Raw Financial Data'!M18</f>
        <v>1.7994856906041332</v>
      </c>
      <c r="I17">
        <f>'Raw Financial Data'!D18/'Raw Financial Data'!N18</f>
        <v>1.3565287177978118</v>
      </c>
      <c r="J17">
        <f>'Raw Financial Data'!I18/'Raw Financial Data'!G18</f>
        <v>0.35475270031314798</v>
      </c>
      <c r="K17">
        <f>'Raw Financial Data'!J18/'Raw Financial Data'!K18</f>
        <v>1.001203272471382</v>
      </c>
      <c r="L17">
        <f>('Raw Financial Data'!J18-'Raw Financial Data'!L18)/'Raw Financial Data'!K18</f>
        <v>0.86473122438345706</v>
      </c>
      <c r="M17">
        <f>'Raw Financial Data'!C18/'Raw Financial Data'!G18</f>
        <v>0.61370897319825168</v>
      </c>
      <c r="N17">
        <v>8.0262541575643063</v>
      </c>
      <c r="O17">
        <f>'Raw Financial Data'!P18/'Raw Financial Data'!I18</f>
        <v>0.18402017871802517</v>
      </c>
    </row>
    <row r="18" spans="5:16" x14ac:dyDescent="0.3">
      <c r="E18">
        <v>2.9146577134274824E-2</v>
      </c>
      <c r="F18">
        <v>0.11473988519620112</v>
      </c>
      <c r="G18">
        <f>'Raw Financial Data'!F19/'Raw Financial Data'!G19</f>
        <v>2.2646792059444653E-2</v>
      </c>
      <c r="H18">
        <f>'Raw Financial Data'!I19/'Raw Financial Data'!M19</f>
        <v>1.8240252468318729</v>
      </c>
      <c r="I18">
        <f>'Raw Financial Data'!D19/'Raw Financial Data'!N19</f>
        <v>2.511893957487461</v>
      </c>
      <c r="J18">
        <f>'Raw Financial Data'!I19/'Raw Financial Data'!G19</f>
        <v>0.36001709785174418</v>
      </c>
      <c r="K18">
        <f>'Raw Financial Data'!J19/'Raw Financial Data'!K19</f>
        <v>1.0796479172743647</v>
      </c>
      <c r="L18">
        <f>('Raw Financial Data'!J19-'Raw Financial Data'!L19)/'Raw Financial Data'!K19</f>
        <v>0.92643314725706349</v>
      </c>
      <c r="M18">
        <f>'Raw Financial Data'!C19/'Raw Financial Data'!G19</f>
        <v>0.77699662485627619</v>
      </c>
      <c r="N18">
        <v>11.041745667098034</v>
      </c>
      <c r="O18">
        <f>'Raw Financial Data'!P19/'Raw Financial Data'!I19</f>
        <v>-0.22848358938707067</v>
      </c>
    </row>
    <row r="19" spans="5:16" x14ac:dyDescent="0.3">
      <c r="E19">
        <v>5.3104452527118658E-2</v>
      </c>
      <c r="F19">
        <v>0.21020788702781898</v>
      </c>
      <c r="G19">
        <f>'Raw Financial Data'!F20/'Raw Financial Data'!G20</f>
        <v>3.6741119291025637E-2</v>
      </c>
      <c r="H19">
        <f>'Raw Financial Data'!I20/'Raw Financial Data'!M20</f>
        <v>2.2723530820790225</v>
      </c>
      <c r="I19">
        <f>'Raw Financial Data'!D20/'Raw Financial Data'!N20</f>
        <v>2.6877726548746752</v>
      </c>
      <c r="J19">
        <f>'Raw Financial Data'!I20/'Raw Financial Data'!G20</f>
        <v>0.3971725173610931</v>
      </c>
      <c r="K19">
        <f>'Raw Financial Data'!J20/'Raw Financial Data'!K20</f>
        <v>1.0917022645861514</v>
      </c>
      <c r="L19">
        <f>('Raw Financial Data'!J20-'Raw Financial Data'!L20)/'Raw Financial Data'!K20</f>
        <v>0.94147660807206013</v>
      </c>
      <c r="M19">
        <f>'Raw Financial Data'!C20/'Raw Financial Data'!G20</f>
        <v>0.69186513639818026</v>
      </c>
      <c r="N19">
        <v>9.0799012947677635</v>
      </c>
      <c r="O19">
        <f>'Raw Financial Data'!P20/'Raw Financial Data'!I20</f>
        <v>-0.23309861987892838</v>
      </c>
    </row>
    <row r="20" spans="5:16" x14ac:dyDescent="0.3">
      <c r="E20">
        <v>6.2165578382194255E-2</v>
      </c>
      <c r="F20">
        <v>0.19607620389198768</v>
      </c>
      <c r="G20">
        <f>'Raw Financial Data'!F21/'Raw Financial Data'!G21</f>
        <v>3.8098596981273589E-2</v>
      </c>
      <c r="H20">
        <f>'Raw Financial Data'!I21/'Raw Financial Data'!M21</f>
        <v>2.3078979555515162</v>
      </c>
      <c r="I20">
        <f>'Raw Financial Data'!D21/'Raw Financial Data'!N21</f>
        <v>2.4459736248190302</v>
      </c>
      <c r="J20">
        <f>'Raw Financial Data'!I21/'Raw Financial Data'!G21</f>
        <v>0.44843623212380795</v>
      </c>
      <c r="K20">
        <f>'Raw Financial Data'!J21/'Raw Financial Data'!K21</f>
        <v>1.2895803093313889</v>
      </c>
      <c r="L20">
        <f>('Raw Financial Data'!J21-'Raw Financial Data'!L21)/'Raw Financial Data'!K21</f>
        <v>1.1394537249552377</v>
      </c>
      <c r="M20">
        <f>'Raw Financial Data'!C21/'Raw Financial Data'!G21</f>
        <v>0.61285679266174031</v>
      </c>
      <c r="N20">
        <v>8.5001469835841235</v>
      </c>
      <c r="O20">
        <f>'Raw Financial Data'!P21/'Raw Financial Data'!I21</f>
        <v>3.5131501802653227E-3</v>
      </c>
      <c r="P20">
        <f>(('Raw Financial Data'!C21/'Raw Financial Data'!C17)^(1/3) - 1)</f>
        <v>0.13928835235204451</v>
      </c>
    </row>
    <row r="21" spans="5:16" x14ac:dyDescent="0.3">
      <c r="E21">
        <v>0.20980678836253494</v>
      </c>
      <c r="F21">
        <v>0.24697826593950703</v>
      </c>
      <c r="G21">
        <f>'Raw Financial Data'!F22/'Raw Financial Data'!G22</f>
        <v>0.19344541018000622</v>
      </c>
      <c r="H21">
        <f>'Raw Financial Data'!I22/'Raw Financial Data'!M22</f>
        <v>0</v>
      </c>
      <c r="I21">
        <f>'Raw Financial Data'!D22/'Raw Financial Data'!N22</f>
        <v>491.80081855388812</v>
      </c>
      <c r="J21">
        <f>'Raw Financial Data'!I22/'Raw Financial Data'!G22</f>
        <v>0</v>
      </c>
      <c r="K21">
        <f>'Raw Financial Data'!J22/'Raw Financial Data'!K22</f>
        <v>2.1045730137848198</v>
      </c>
      <c r="L21">
        <f>('Raw Financial Data'!J22-'Raw Financial Data'!L22)/'Raw Financial Data'!K22</f>
        <v>1.8026702129687888</v>
      </c>
      <c r="M21">
        <f>'Raw Financial Data'!C22/'Raw Financial Data'!G22</f>
        <v>0.92201692657218914</v>
      </c>
      <c r="N21">
        <v>9.5346237645647172</v>
      </c>
      <c r="O21" t="e">
        <f>'Raw Financial Data'!P22/'Raw Financial Data'!I22</f>
        <v>#DIV/0!</v>
      </c>
    </row>
    <row r="22" spans="5:16" x14ac:dyDescent="0.3">
      <c r="E22">
        <v>0.15525799162869949</v>
      </c>
      <c r="F22">
        <v>0.13297906091370557</v>
      </c>
      <c r="G22">
        <f>'Raw Financial Data'!F23/'Raw Financial Data'!G23</f>
        <v>0.10387965672500887</v>
      </c>
      <c r="H22">
        <f>'Raw Financial Data'!I23/'Raw Financial Data'!M23</f>
        <v>2.8013959390862943E-3</v>
      </c>
      <c r="I22">
        <f>'Raw Financial Data'!D23/'Raw Financial Data'!N23</f>
        <v>142.34398296059635</v>
      </c>
      <c r="J22">
        <f>'Raw Financial Data'!I23/'Raw Financial Data'!G23</f>
        <v>2.1883749704922541E-3</v>
      </c>
      <c r="K22">
        <f>'Raw Financial Data'!J23/'Raw Financial Data'!K23</f>
        <v>1.9421435903462054</v>
      </c>
      <c r="L22">
        <f>('Raw Financial Data'!J23-'Raw Financial Data'!L23)/'Raw Financial Data'!K23</f>
        <v>1.5507660617204162</v>
      </c>
      <c r="M22">
        <f>'Raw Financial Data'!C23/'Raw Financial Data'!G23</f>
        <v>0.66907767925684469</v>
      </c>
      <c r="N22">
        <v>6.1675026492405509</v>
      </c>
      <c r="O22">
        <f>'Raw Financial Data'!P23/'Raw Financial Data'!I23</f>
        <v>43.234428086070217</v>
      </c>
    </row>
    <row r="23" spans="5:16" x14ac:dyDescent="0.3">
      <c r="E23">
        <v>0.18980280684659007</v>
      </c>
      <c r="F23">
        <v>0.19438863049923016</v>
      </c>
      <c r="G23">
        <f>'Raw Financial Data'!F24/'Raw Financial Data'!G24</f>
        <v>0.15178636540741466</v>
      </c>
      <c r="H23">
        <f>'Raw Financial Data'!I24/'Raw Financial Data'!M24</f>
        <v>8.7223187292031906E-3</v>
      </c>
      <c r="I23">
        <f>'Raw Financial Data'!D24/'Raw Financial Data'!N24</f>
        <v>155.38401142041397</v>
      </c>
      <c r="J23">
        <f>'Raw Financial Data'!I24/'Raw Financial Data'!G24</f>
        <v>6.8107329859295211E-3</v>
      </c>
      <c r="K23">
        <f>'Raw Financial Data'!J24/'Raw Financial Data'!K24</f>
        <v>1.1387042521749347</v>
      </c>
      <c r="L23">
        <f>('Raw Financial Data'!J24-'Raw Financial Data'!L24)/'Raw Financial Data'!K24</f>
        <v>0.74346282979552214</v>
      </c>
      <c r="M23">
        <f>'Raw Financial Data'!C24/'Raw Financial Data'!G24</f>
        <v>0.79970558881195808</v>
      </c>
      <c r="N23">
        <v>6.9610577066158754</v>
      </c>
      <c r="O23">
        <f>'Raw Financial Data'!P24/'Raw Financial Data'!I24</f>
        <v>21.588221797323136</v>
      </c>
    </row>
    <row r="24" spans="5:16" x14ac:dyDescent="0.3">
      <c r="E24">
        <v>0.22154759551412925</v>
      </c>
      <c r="F24">
        <v>0.22171751120637634</v>
      </c>
      <c r="G24">
        <f>'Raw Financial Data'!F25/'Raw Financial Data'!G25</f>
        <v>0.17309052555620497</v>
      </c>
      <c r="H24">
        <f>'Raw Financial Data'!I25/'Raw Financial Data'!M25</f>
        <v>1.5041952217529771E-2</v>
      </c>
      <c r="I24">
        <f>'Raw Financial Data'!D25/'Raw Financial Data'!N25</f>
        <v>114.98624213836477</v>
      </c>
      <c r="J24">
        <f>'Raw Financial Data'!I25/'Raw Financial Data'!G25</f>
        <v>1.1742957967357311E-2</v>
      </c>
      <c r="K24">
        <f>'Raw Financial Data'!J25/'Raw Financial Data'!K25</f>
        <v>1.1536567539552192</v>
      </c>
      <c r="L24">
        <f>('Raw Financial Data'!J25-'Raw Financial Data'!L25)/'Raw Financial Data'!K25</f>
        <v>0.7619170689276652</v>
      </c>
      <c r="M24">
        <f>'Raw Financial Data'!C25/'Raw Financial Data'!G25</f>
        <v>0.78127918813348651</v>
      </c>
      <c r="N24">
        <v>7.0651007772273404</v>
      </c>
      <c r="O24">
        <f>'Raw Financial Data'!P25/'Raw Financial Data'!I25</f>
        <v>13.718353964043619</v>
      </c>
    </row>
    <row r="25" spans="5:16" x14ac:dyDescent="0.3">
      <c r="E25">
        <v>0.22679886908109481</v>
      </c>
      <c r="F25">
        <v>0.22231081272078165</v>
      </c>
      <c r="G25">
        <f>'Raw Financial Data'!F26/'Raw Financial Data'!G26</f>
        <v>0.17422420578772455</v>
      </c>
      <c r="H25">
        <f>'Raw Financial Data'!I26/'Raw Financial Data'!M26</f>
        <v>1.4470459686079724E-2</v>
      </c>
      <c r="I25">
        <f>'Raw Financial Data'!D26/'Raw Financial Data'!N26</f>
        <v>123.60581523739417</v>
      </c>
      <c r="J25">
        <f>'Raw Financial Data'!I26/'Raw Financial Data'!G26</f>
        <v>1.1340448605875896E-2</v>
      </c>
      <c r="K25">
        <f>'Raw Financial Data'!J26/'Raw Financial Data'!K26</f>
        <v>1.6302200301000052</v>
      </c>
      <c r="L25">
        <f>('Raw Financial Data'!J26-'Raw Financial Data'!L26)/'Raw Financial Data'!K26</f>
        <v>1.2636399439258472</v>
      </c>
      <c r="M25">
        <f>'Raw Financial Data'!C26/'Raw Financial Data'!G26</f>
        <v>0.76818815937494145</v>
      </c>
      <c r="N25">
        <v>9.4650451834662572</v>
      </c>
      <c r="O25">
        <f>'Raw Financial Data'!P26/'Raw Financial Data'!I26</f>
        <v>12.914689943862154</v>
      </c>
      <c r="P25">
        <f>(('Raw Financial Data'!C26/'Raw Financial Data'!C22)^(1/3)) -1</f>
        <v>0.25746334384475333</v>
      </c>
    </row>
    <row r="26" spans="5:16" x14ac:dyDescent="0.3">
      <c r="E26">
        <v>0.15211550827363324</v>
      </c>
      <c r="F26">
        <v>0.21208780992535881</v>
      </c>
      <c r="G26">
        <f>'Raw Financial Data'!F27/'Raw Financial Data'!G27</f>
        <v>0.17089338744923166</v>
      </c>
      <c r="H26">
        <f>'Raw Financial Data'!I27/'Raw Financial Data'!M27</f>
        <v>5.3594286260287803E-3</v>
      </c>
      <c r="I26">
        <f>'Raw Financial Data'!D27/'Raw Financial Data'!N27</f>
        <v>1612.8906249999998</v>
      </c>
      <c r="J26">
        <f>'Raw Financial Data'!I27/'Raw Financial Data'!G27</f>
        <v>4.3184514612922545E-3</v>
      </c>
      <c r="K26">
        <f>'Raw Financial Data'!J27/'Raw Financial Data'!K27</f>
        <v>1.4512678044556793</v>
      </c>
      <c r="L26">
        <f>('Raw Financial Data'!J27-'Raw Financial Data'!L27)/'Raw Financial Data'!K27</f>
        <v>1.2539856128097697</v>
      </c>
      <c r="M26">
        <f>'Raw Financial Data'!C27/'Raw Financial Data'!G27</f>
        <v>1.1234448702088928</v>
      </c>
      <c r="N26">
        <v>24.155755010348305</v>
      </c>
      <c r="O26">
        <f>'Raw Financial Data'!P27/'Raw Financial Data'!I27</f>
        <v>19.97157083199486</v>
      </c>
    </row>
    <row r="27" spans="5:16" x14ac:dyDescent="0.3">
      <c r="E27">
        <v>0.17211134493364807</v>
      </c>
      <c r="F27">
        <v>0.20649498353296722</v>
      </c>
      <c r="G27">
        <f>'Raw Financial Data'!F28/'Raw Financial Data'!G28</f>
        <v>0.17560972692197163</v>
      </c>
      <c r="H27">
        <f>'Raw Financial Data'!I28/'Raw Financial Data'!M28</f>
        <v>4.1115672449049991E-3</v>
      </c>
      <c r="I27">
        <f>'Raw Financial Data'!D28/'Raw Financial Data'!N28</f>
        <v>915.71593533487305</v>
      </c>
      <c r="J27">
        <f>'Raw Financial Data'!I28/'Raw Financial Data'!G28</f>
        <v>3.4966040760201658E-3</v>
      </c>
      <c r="K27">
        <f>'Raw Financial Data'!J28/'Raw Financial Data'!K28</f>
        <v>2.210858483523515</v>
      </c>
      <c r="L27">
        <f>('Raw Financial Data'!J28-'Raw Financial Data'!L28)/'Raw Financial Data'!K28</f>
        <v>1.9484056734563293</v>
      </c>
      <c r="M27">
        <f>'Raw Financial Data'!C28/'Raw Financial Data'!G28</f>
        <v>1.0203262718658799</v>
      </c>
      <c r="N27">
        <v>20.814670339940349</v>
      </c>
      <c r="O27">
        <f>'Raw Financial Data'!P28/'Raw Financial Data'!I28</f>
        <v>34.187586543943965</v>
      </c>
    </row>
    <row r="28" spans="5:16" x14ac:dyDescent="0.3">
      <c r="E28">
        <v>0.15875981964880714</v>
      </c>
      <c r="F28">
        <v>0.20639952591058716</v>
      </c>
      <c r="G28">
        <f>'Raw Financial Data'!F29/'Raw Financial Data'!G29</f>
        <v>0.17247644540071635</v>
      </c>
      <c r="H28">
        <f>'Raw Financial Data'!I29/'Raw Financial Data'!M29</f>
        <v>4.2310436608421565E-3</v>
      </c>
      <c r="I28">
        <f>'Raw Financial Data'!D29/'Raw Financial Data'!N29</f>
        <v>206.71576815995951</v>
      </c>
      <c r="J28">
        <f>'Raw Financial Data'!I29/'Raw Financial Data'!G29</f>
        <v>3.5356446083767714E-3</v>
      </c>
      <c r="K28">
        <f>'Raw Financial Data'!J29/'Raw Financial Data'!K29</f>
        <v>1.830936452945886</v>
      </c>
      <c r="L28">
        <f>('Raw Financial Data'!J29-'Raw Financial Data'!L29)/'Raw Financial Data'!K29</f>
        <v>1.5342893028303426</v>
      </c>
      <c r="M28">
        <f>'Raw Financial Data'!C29/'Raw Financial Data'!G29</f>
        <v>1.0863985974678718</v>
      </c>
      <c r="N28">
        <v>19.919865715124228</v>
      </c>
      <c r="O28">
        <f>'Raw Financial Data'!P29/'Raw Financial Data'!I29</f>
        <v>42.481043226273847</v>
      </c>
    </row>
    <row r="29" spans="5:16" x14ac:dyDescent="0.3">
      <c r="E29">
        <v>0.16550507535957798</v>
      </c>
      <c r="F29">
        <v>0.26614626816405534</v>
      </c>
      <c r="G29">
        <f>'Raw Financial Data'!F30/'Raw Financial Data'!G30</f>
        <v>0.19592061649530076</v>
      </c>
      <c r="H29">
        <f>'Raw Financial Data'!I30/'Raw Financial Data'!M30</f>
        <v>2.6212243313921971E-2</v>
      </c>
      <c r="I29">
        <f>'Raw Financial Data'!D30/'Raw Financial Data'!N30</f>
        <v>173.37922465208749</v>
      </c>
      <c r="J29">
        <f>'Raw Financial Data'!I30/'Raw Financial Data'!G30</f>
        <v>1.9295851507573385E-2</v>
      </c>
      <c r="K29">
        <f>'Raw Financial Data'!J30/'Raw Financial Data'!K30</f>
        <v>1.2977748885464344</v>
      </c>
      <c r="L29">
        <f>('Raw Financial Data'!J30-'Raw Financial Data'!L30)/'Raw Financial Data'!K30</f>
        <v>1.1120189457312157</v>
      </c>
      <c r="M29">
        <f>'Raw Financial Data'!C30/'Raw Financial Data'!G30</f>
        <v>1.1837740689803116</v>
      </c>
      <c r="N29">
        <v>20.751166866525224</v>
      </c>
      <c r="O29">
        <f>'Raw Financial Data'!P30/'Raw Financial Data'!I30</f>
        <v>8.6385921466865128</v>
      </c>
    </row>
    <row r="30" spans="5:16" x14ac:dyDescent="0.3">
      <c r="E30">
        <v>0.13960120421674072</v>
      </c>
      <c r="F30">
        <v>0.2081554474086178</v>
      </c>
      <c r="G30">
        <f>'Raw Financial Data'!F31/'Raw Financial Data'!G31</f>
        <v>0.1353675998781739</v>
      </c>
      <c r="H30">
        <f>'Raw Financial Data'!I31/'Raw Financial Data'!M31</f>
        <v>0.17648765585591986</v>
      </c>
      <c r="I30">
        <f>'Raw Financial Data'!D31/'Raw Financial Data'!N31</f>
        <v>28.35345847261507</v>
      </c>
      <c r="J30">
        <f>'Raw Financial Data'!I31/'Raw Financial Data'!G31</f>
        <v>0.11477340938593146</v>
      </c>
      <c r="K30">
        <f>'Raw Financial Data'!J31/'Raw Financial Data'!K31</f>
        <v>1.6787162427560536</v>
      </c>
      <c r="L30">
        <f>('Raw Financial Data'!J31-'Raw Financial Data'!L31)/'Raw Financial Data'!K31</f>
        <v>1.4993831908499882</v>
      </c>
      <c r="M30">
        <f>'Raw Financial Data'!C31/'Raw Financial Data'!G31</f>
        <v>0.96967358295854067</v>
      </c>
      <c r="N30">
        <v>19.826038007386934</v>
      </c>
      <c r="O30">
        <f>'Raw Financial Data'!P31/'Raw Financial Data'!I31</f>
        <v>-0.22632592530569787</v>
      </c>
      <c r="P30">
        <f>(('Raw Financial Data'!C31/'Raw Financial Data'!C27)^(1/3)) -1</f>
        <v>0.17439233223062378</v>
      </c>
    </row>
    <row r="31" spans="5:16" x14ac:dyDescent="0.3">
      <c r="E31">
        <v>9.9200969171598513E-2</v>
      </c>
      <c r="F31">
        <v>0.26019603339850655</v>
      </c>
      <c r="G31">
        <f>'Raw Financial Data'!F32/'Raw Financial Data'!G32</f>
        <v>0.18612316232498718</v>
      </c>
      <c r="H31">
        <f>'Raw Financial Data'!I32/'Raw Financial Data'!M32</f>
        <v>9.4314819907347254E-3</v>
      </c>
      <c r="I31">
        <f>'Raw Financial Data'!D32/'Raw Financial Data'!N32</f>
        <v>155.08122646584187</v>
      </c>
      <c r="J31">
        <f>'Raw Financial Data'!I32/'Raw Financial Data'!G32</f>
        <v>6.7465181178922159E-3</v>
      </c>
      <c r="K31">
        <f>'Raw Financial Data'!J32/'Raw Financial Data'!K32</f>
        <v>1.9081121659809757</v>
      </c>
      <c r="L31">
        <f>('Raw Financial Data'!J32-'Raw Financial Data'!L32)/'Raw Financial Data'!K32</f>
        <v>1.6247193355680645</v>
      </c>
      <c r="M31">
        <f>'Raw Financial Data'!C32/'Raw Financial Data'!G32</f>
        <v>1.8762232252290809</v>
      </c>
      <c r="N31">
        <v>22.106832168895508</v>
      </c>
      <c r="O31">
        <f>'Raw Financial Data'!P32/'Raw Financial Data'!I32</f>
        <v>8.2688240948413974</v>
      </c>
    </row>
    <row r="32" spans="5:16" x14ac:dyDescent="0.3">
      <c r="E32">
        <v>7.6956675830864588E-2</v>
      </c>
      <c r="F32">
        <v>0.14485298255046986</v>
      </c>
      <c r="G32">
        <f>'Raw Financial Data'!F33/'Raw Financial Data'!G33</f>
        <v>0.10307143883525467</v>
      </c>
      <c r="H32">
        <f>'Raw Financial Data'!I33/'Raw Financial Data'!M33</f>
        <v>1.5735212289070755E-2</v>
      </c>
      <c r="I32">
        <f>'Raw Financial Data'!D33/'Raw Financial Data'!N33</f>
        <v>71.576836158192094</v>
      </c>
      <c r="J32">
        <f>'Raw Financial Data'!I33/'Raw Financial Data'!G33</f>
        <v>1.1196531424181181E-2</v>
      </c>
      <c r="K32">
        <f>'Raw Financial Data'!J33/'Raw Financial Data'!K33</f>
        <v>1.9160799111212603</v>
      </c>
      <c r="L32">
        <f>('Raw Financial Data'!J33-'Raw Financial Data'!L33)/'Raw Financial Data'!K33</f>
        <v>1.649224395256659</v>
      </c>
      <c r="M32">
        <f>'Raw Financial Data'!C33/'Raw Financial Data'!G33</f>
        <v>1.3393436985478053</v>
      </c>
      <c r="N32">
        <v>15.618740704015863</v>
      </c>
      <c r="O32">
        <f>'Raw Financial Data'!P33/'Raw Financial Data'!I33</f>
        <v>8.3586300063572789</v>
      </c>
    </row>
    <row r="33" spans="5:16" x14ac:dyDescent="0.3">
      <c r="E33">
        <v>8.0907559637782359E-2</v>
      </c>
      <c r="F33">
        <v>0.16745259266189647</v>
      </c>
      <c r="G33">
        <f>'Raw Financial Data'!F34/'Raw Financial Data'!G34</f>
        <v>0.11748783189217056</v>
      </c>
      <c r="H33">
        <f>'Raw Financial Data'!I34/'Raw Financial Data'!M34</f>
        <v>1.4287902182456796E-2</v>
      </c>
      <c r="I33">
        <f>'Raw Financial Data'!D34/'Raw Financial Data'!N34</f>
        <v>44.487890922959579</v>
      </c>
      <c r="J33">
        <f>'Raw Financial Data'!I34/'Raw Financial Data'!G34</f>
        <v>1.0024656071426928E-2</v>
      </c>
      <c r="K33">
        <f>'Raw Financial Data'!J34/'Raw Financial Data'!K34</f>
        <v>1.5692543350486143</v>
      </c>
      <c r="L33">
        <f>('Raw Financial Data'!J34-'Raw Financial Data'!L34)/'Raw Financial Data'!K34</f>
        <v>1.2771370883242246</v>
      </c>
      <c r="M33">
        <f>'Raw Financial Data'!C34/'Raw Financial Data'!G34</f>
        <v>1.4521242813175383</v>
      </c>
      <c r="N33">
        <v>16.397627601585729</v>
      </c>
      <c r="O33">
        <f>'Raw Financial Data'!P34/'Raw Financial Data'!I34</f>
        <v>10.901901901901903</v>
      </c>
    </row>
    <row r="34" spans="5:16" x14ac:dyDescent="0.3">
      <c r="E34">
        <v>9.6907965083600819E-2</v>
      </c>
      <c r="F34">
        <v>0.20997590634369093</v>
      </c>
      <c r="G34">
        <f>'Raw Financial Data'!F35/'Raw Financial Data'!G35</f>
        <v>0.14319045883823484</v>
      </c>
      <c r="H34">
        <f>'Raw Financial Data'!I35/'Raw Financial Data'!M35</f>
        <v>1.1165393951185815E-2</v>
      </c>
      <c r="I34">
        <f>'Raw Financial Data'!D35/'Raw Financial Data'!N35</f>
        <v>77.568809742045303</v>
      </c>
      <c r="J34">
        <f>'Raw Financial Data'!I35/'Raw Financial Data'!G35</f>
        <v>7.6141015929849162E-3</v>
      </c>
      <c r="K34">
        <f>'Raw Financial Data'!J35/'Raw Financial Data'!K35</f>
        <v>1.4635227719316666</v>
      </c>
      <c r="L34">
        <f>('Raw Financial Data'!J35-'Raw Financial Data'!L35)/'Raw Financial Data'!K35</f>
        <v>1.2144013438568069</v>
      </c>
      <c r="M34">
        <f>'Raw Financial Data'!C35/'Raw Financial Data'!G35</f>
        <v>1.477592256887315</v>
      </c>
      <c r="N34">
        <v>15.985473864629631</v>
      </c>
      <c r="O34">
        <f>'Raw Financial Data'!P35/'Raw Financial Data'!I35</f>
        <v>24.722894591472905</v>
      </c>
    </row>
    <row r="35" spans="5:16" x14ac:dyDescent="0.3">
      <c r="E35">
        <v>0.10433025555489366</v>
      </c>
      <c r="F35">
        <v>0.22564727333258089</v>
      </c>
      <c r="G35">
        <f>'Raw Financial Data'!F36/'Raw Financial Data'!G36</f>
        <v>0.15422439761158027</v>
      </c>
      <c r="H35">
        <f>'Raw Financial Data'!I36/'Raw Financial Data'!M36</f>
        <v>1.0111785711156772E-2</v>
      </c>
      <c r="I35">
        <f>'Raw Financial Data'!D36/'Raw Financial Data'!N36</f>
        <v>96.65675866949752</v>
      </c>
      <c r="J35">
        <f>'Raw Financial Data'!I36/'Raw Financial Data'!G36</f>
        <v>6.9111584511904059E-3</v>
      </c>
      <c r="K35">
        <f>'Raw Financial Data'!J36/'Raw Financial Data'!K36</f>
        <v>1.7969403342438048</v>
      </c>
      <c r="L35">
        <f>('Raw Financial Data'!J36-'Raw Financial Data'!L36)/'Raw Financial Data'!K36</f>
        <v>1.5276324976792339</v>
      </c>
      <c r="M35">
        <f>'Raw Financial Data'!C36/'Raw Financial Data'!G36</f>
        <v>1.4782327215755229</v>
      </c>
      <c r="N35">
        <v>15.90038310110261</v>
      </c>
      <c r="O35">
        <f>'Raw Financial Data'!P36/'Raw Financial Data'!I36</f>
        <v>21.901992762856125</v>
      </c>
      <c r="P35">
        <f>(('Raw Financial Data'!C36/'Raw Financial Data'!C32)^(1/3)) -1</f>
        <v>6.5249913192251485E-2</v>
      </c>
    </row>
    <row r="36" spans="5:16" x14ac:dyDescent="0.3">
      <c r="E36">
        <v>3.4906893649567818E-2</v>
      </c>
      <c r="F36">
        <v>0.20628875214435849</v>
      </c>
      <c r="G36">
        <f>'Raw Financial Data'!F37/'Raw Financial Data'!G37</f>
        <v>4.2204678947491352E-2</v>
      </c>
      <c r="H36">
        <f>'Raw Financial Data'!I37/'Raw Financial Data'!M37</f>
        <v>1.4371329707196261</v>
      </c>
      <c r="I36">
        <f>'Raw Financial Data'!D37/'Raw Financial Data'!N37</f>
        <v>3.2981006933976484</v>
      </c>
      <c r="J36">
        <f>'Raw Financial Data'!I37/'Raw Financial Data'!G37</f>
        <v>0.29402347439491772</v>
      </c>
      <c r="K36">
        <f>'Raw Financial Data'!J37/'Raw Financial Data'!K37</f>
        <v>1.0179454818022209</v>
      </c>
      <c r="L36">
        <f>('Raw Financial Data'!J37-'Raw Financial Data'!L37)/'Raw Financial Data'!K37</f>
        <v>0.86014424316323335</v>
      </c>
      <c r="M36">
        <f>'Raw Financial Data'!C37/'Raw Financial Data'!G37</f>
        <v>1.2090643003409698</v>
      </c>
      <c r="N36">
        <v>12.079879526467789</v>
      </c>
      <c r="O36">
        <f>'Raw Financial Data'!P37/'Raw Financial Data'!I37</f>
        <v>-0.18698514613498035</v>
      </c>
    </row>
    <row r="37" spans="5:16" x14ac:dyDescent="0.3">
      <c r="E37">
        <v>0.17237004830697822</v>
      </c>
      <c r="F37">
        <v>0.14977607406278634</v>
      </c>
      <c r="G37">
        <f>'Raw Financial Data'!F38/'Raw Financial Data'!G38</f>
        <v>2.8114610072402128E-2</v>
      </c>
      <c r="H37">
        <f>'Raw Financial Data'!I38/'Raw Financial Data'!M38</f>
        <v>1.5255896980215751</v>
      </c>
      <c r="I37">
        <f>'Raw Financial Data'!D38/'Raw Financial Data'!N38</f>
        <v>2.9247091106336813</v>
      </c>
      <c r="J37">
        <f>'Raw Financial Data'!I38/'Raw Financial Data'!G38</f>
        <v>0.28636990092536524</v>
      </c>
      <c r="K37">
        <f>'Raw Financial Data'!J38/'Raw Financial Data'!K38</f>
        <v>0.92674758922215106</v>
      </c>
      <c r="L37">
        <f>('Raw Financial Data'!J38-'Raw Financial Data'!L38)/'Raw Financial Data'!K38</f>
        <v>0.80864572172324767</v>
      </c>
      <c r="M37">
        <f>'Raw Financial Data'!C38/'Raw Financial Data'!G38</f>
        <v>0.16310612167568753</v>
      </c>
      <c r="N37">
        <v>11.428139993667649</v>
      </c>
      <c r="O37">
        <f>'Raw Financial Data'!P38/'Raw Financial Data'!I38</f>
        <v>-0.20433607218744246</v>
      </c>
    </row>
    <row r="38" spans="5:16" x14ac:dyDescent="0.3">
      <c r="E38">
        <v>4.1376133961177744E-2</v>
      </c>
      <c r="F38">
        <v>0.22482296504987437</v>
      </c>
      <c r="G38">
        <f>'Raw Financial Data'!F39/'Raw Financial Data'!G39</f>
        <v>3.7935401863950245E-2</v>
      </c>
      <c r="H38">
        <f>'Raw Financial Data'!I39/'Raw Financial Data'!M39</f>
        <v>1.6290751880335372</v>
      </c>
      <c r="I38">
        <f>'Raw Financial Data'!D39/'Raw Financial Data'!N39</f>
        <v>3.04321253901995</v>
      </c>
      <c r="J38">
        <f>'Raw Financial Data'!I39/'Raw Financial Data'!G39</f>
        <v>0.27488126896170512</v>
      </c>
      <c r="K38">
        <f>'Raw Financial Data'!J39/'Raw Financial Data'!K39</f>
        <v>0.88493134291081077</v>
      </c>
      <c r="L38">
        <f>('Raw Financial Data'!J39-'Raw Financial Data'!L39)/'Raw Financial Data'!K39</f>
        <v>0.78495007466686084</v>
      </c>
      <c r="M38">
        <f>'Raw Financial Data'!C39/'Raw Financial Data'!G39</f>
        <v>0.91684259093766829</v>
      </c>
      <c r="N38">
        <v>13.472954961881326</v>
      </c>
      <c r="O38">
        <f>'Raw Financial Data'!P39/'Raw Financial Data'!I39</f>
        <v>-0.45752156043204995</v>
      </c>
    </row>
    <row r="39" spans="5:16" x14ac:dyDescent="0.3">
      <c r="E39">
        <v>4.2964227771527336E-2</v>
      </c>
      <c r="F39">
        <v>0.22451674918886821</v>
      </c>
      <c r="G39">
        <f>'Raw Financial Data'!F40/'Raw Financial Data'!G40</f>
        <v>4.0128735960403575E-2</v>
      </c>
      <c r="H39">
        <f>'Raw Financial Data'!I40/'Raw Financial Data'!M40</f>
        <v>1.7484765900113299</v>
      </c>
      <c r="I39">
        <f>'Raw Financial Data'!D40/'Raw Financial Data'!N40</f>
        <v>2.907974187122611</v>
      </c>
      <c r="J39">
        <f>'Raw Financial Data'!I40/'Raw Financial Data'!G40</f>
        <v>0.31251189796306872</v>
      </c>
      <c r="K39">
        <f>'Raw Financial Data'!J40/'Raw Financial Data'!K40</f>
        <v>1.0209600340825904</v>
      </c>
      <c r="L39">
        <f>('Raw Financial Data'!J40-'Raw Financial Data'!L40)/'Raw Financial Data'!K40</f>
        <v>0.91429063473606142</v>
      </c>
      <c r="M39">
        <f>'Raw Financial Data'!C40/'Raw Financial Data'!G40</f>
        <v>0.93400342661336377</v>
      </c>
      <c r="N39">
        <v>13.546944658277996</v>
      </c>
      <c r="O39">
        <f>'Raw Financial Data'!P40/'Raw Financial Data'!I40</f>
        <v>-9.538338536511079E-2</v>
      </c>
    </row>
    <row r="40" spans="5:16" x14ac:dyDescent="0.3">
      <c r="E40">
        <v>5.0591466373136162E-2</v>
      </c>
      <c r="F40">
        <v>0.23676086364825405</v>
      </c>
      <c r="G40">
        <f>'Raw Financial Data'!F41/'Raw Financial Data'!G41</f>
        <v>4.6915388149098576E-2</v>
      </c>
      <c r="H40">
        <f>'Raw Financial Data'!I41/'Raw Financial Data'!M41</f>
        <v>1.5551885298768198</v>
      </c>
      <c r="I40">
        <f>'Raw Financial Data'!D41/'Raw Financial Data'!N41</f>
        <v>3.1883769258330346</v>
      </c>
      <c r="J40">
        <f>'Raw Financial Data'!I41/'Raw Financial Data'!G41</f>
        <v>0.30816864071164252</v>
      </c>
      <c r="K40">
        <f>'Raw Financial Data'!J41/'Raw Financial Data'!K41</f>
        <v>1.1212896260131167</v>
      </c>
      <c r="L40">
        <f>('Raw Financial Data'!J41-'Raw Financial Data'!L41)/'Raw Financial Data'!K41</f>
        <v>1.0170077597121543</v>
      </c>
      <c r="M40">
        <f>'Raw Financial Data'!C41/'Raw Financial Data'!G41</f>
        <v>0.92733797836724563</v>
      </c>
      <c r="N40">
        <v>13.077256494132882</v>
      </c>
      <c r="O40">
        <f>'Raw Financial Data'!P41/'Raw Financial Data'!I41</f>
        <v>0.23854524257193466</v>
      </c>
      <c r="P40">
        <f>(('Raw Financial Data'!C41/'Raw Financial Data'!C37)^(1/3)) - 1</f>
        <v>0.2984089318681884</v>
      </c>
    </row>
    <row r="41" spans="5:16" x14ac:dyDescent="0.3">
      <c r="E41">
        <v>6.8586930871337937E-2</v>
      </c>
      <c r="F41">
        <v>0.10432324149455546</v>
      </c>
      <c r="G41">
        <f>'Raw Financial Data'!F42/'Raw Financial Data'!G42</f>
        <v>6.1308374726156641E-2</v>
      </c>
      <c r="H41">
        <f>'Raw Financial Data'!I42/'Raw Financial Data'!M42</f>
        <v>9.7322530073901015E-2</v>
      </c>
      <c r="I41">
        <f>'Raw Financial Data'!D42/'Raw Financial Data'!N42</f>
        <v>9.997000731528896</v>
      </c>
      <c r="J41">
        <f>'Raw Financial Data'!I42/'Raw Financial Data'!G42</f>
        <v>5.7194217296054485E-2</v>
      </c>
      <c r="K41">
        <f>'Raw Financial Data'!J42/'Raw Financial Data'!K42</f>
        <v>1.5488898201642256</v>
      </c>
      <c r="L41">
        <f>('Raw Financial Data'!J42-'Raw Financial Data'!L42)/'Raw Financial Data'!K42</f>
        <v>1.0011291205121118</v>
      </c>
      <c r="M41">
        <f>'Raw Financial Data'!C42/'Raw Financial Data'!G42</f>
        <v>0.8938783810164197</v>
      </c>
      <c r="N41">
        <v>4.0932714152078047</v>
      </c>
      <c r="O41">
        <f>'Raw Financial Data'!P42/'Raw Financial Data'!I42</f>
        <v>1.1878395418732755</v>
      </c>
    </row>
    <row r="42" spans="5:16" x14ac:dyDescent="0.3">
      <c r="E42">
        <v>3.4085763719643412E-2</v>
      </c>
      <c r="F42">
        <v>4.7693469879346348E-2</v>
      </c>
      <c r="G42">
        <f>'Raw Financial Data'!F43/'Raw Financial Data'!G43</f>
        <v>2.9021576132254742E-2</v>
      </c>
      <c r="H42">
        <f>'Raw Financial Data'!I43/'Raw Financial Data'!M43</f>
        <v>8.3244606931349274E-2</v>
      </c>
      <c r="I42">
        <f>'Raw Financial Data'!D43/'Raw Financial Data'!N43</f>
        <v>9.0402587519025879</v>
      </c>
      <c r="J42">
        <f>'Raw Financial Data'!I43/'Raw Financial Data'!G43</f>
        <v>5.0654517353621503E-2</v>
      </c>
      <c r="K42">
        <f>'Raw Financial Data'!J43/'Raw Financial Data'!K43</f>
        <v>1.4753555190441487</v>
      </c>
      <c r="L42">
        <f>('Raw Financial Data'!J43-'Raw Financial Data'!L43)/'Raw Financial Data'!K43</f>
        <v>0.88173322811148336</v>
      </c>
      <c r="M42">
        <f>'Raw Financial Data'!C43/'Raw Financial Data'!G43</f>
        <v>0.85142807334341142</v>
      </c>
      <c r="N42">
        <v>3.8431109507539345</v>
      </c>
      <c r="O42">
        <f>'Raw Financial Data'!P43/'Raw Financial Data'!I43</f>
        <v>-0.49483768235052394</v>
      </c>
    </row>
    <row r="43" spans="5:16" x14ac:dyDescent="0.3">
      <c r="E43">
        <v>3.305637678586245E-2</v>
      </c>
      <c r="F43">
        <v>5.2280351540880968E-2</v>
      </c>
      <c r="G43">
        <f>'Raw Financial Data'!F44/'Raw Financial Data'!G44</f>
        <v>3.1553082327393234E-2</v>
      </c>
      <c r="H43">
        <f>'Raw Financial Data'!I44/'Raw Financial Data'!M44</f>
        <v>9.0577665486795467E-2</v>
      </c>
      <c r="I43">
        <f>'Raw Financial Data'!D44/'Raw Financial Data'!N44</f>
        <v>8.1152090672384745</v>
      </c>
      <c r="J43">
        <f>'Raw Financial Data'!I44/'Raw Financial Data'!G44</f>
        <v>5.4666895915822342E-2</v>
      </c>
      <c r="K43">
        <f>'Raw Financial Data'!J44/'Raw Financial Data'!K44</f>
        <v>1.2329253454155393</v>
      </c>
      <c r="L43">
        <f>('Raw Financial Data'!J44-'Raw Financial Data'!L44)/'Raw Financial Data'!K44</f>
        <v>0.6804405949312371</v>
      </c>
      <c r="M43">
        <f>'Raw Financial Data'!C44/'Raw Financial Data'!G44</f>
        <v>0.95452331426981607</v>
      </c>
      <c r="N43">
        <v>4.4779462972993889</v>
      </c>
      <c r="O43">
        <f>'Raw Financial Data'!P44/'Raw Financial Data'!I44</f>
        <v>2.068360606515538</v>
      </c>
    </row>
    <row r="44" spans="5:16" x14ac:dyDescent="0.3">
      <c r="E44">
        <v>8.1661144037620578E-2</v>
      </c>
      <c r="F44">
        <v>0.12460037501885869</v>
      </c>
      <c r="G44">
        <f>'Raw Financial Data'!F45/'Raw Financial Data'!G45</f>
        <v>7.7514494721116975E-2</v>
      </c>
      <c r="H44">
        <f>'Raw Financial Data'!I45/'Raw Financial Data'!M45</f>
        <v>8.257718898699408E-2</v>
      </c>
      <c r="I44">
        <f>'Raw Financial Data'!D45/'Raw Financial Data'!N45</f>
        <v>12.681550009694487</v>
      </c>
      <c r="J44">
        <f>'Raw Financial Data'!I45/'Raw Financial Data'!G45</f>
        <v>5.1371667852911584E-2</v>
      </c>
      <c r="K44">
        <f>'Raw Financial Data'!J45/'Raw Financial Data'!K45</f>
        <v>1.3682890987454004</v>
      </c>
      <c r="L44">
        <f>('Raw Financial Data'!J45-'Raw Financial Data'!L45)/'Raw Financial Data'!K45</f>
        <v>0.78870899335022038</v>
      </c>
      <c r="M44">
        <f>'Raw Financial Data'!C45/'Raw Financial Data'!G45</f>
        <v>0.94922126838446841</v>
      </c>
      <c r="N44">
        <v>4.2306487038351239</v>
      </c>
      <c r="O44">
        <f>'Raw Financial Data'!P45/'Raw Financial Data'!I45</f>
        <v>2.3949539621547165</v>
      </c>
    </row>
    <row r="45" spans="5:16" x14ac:dyDescent="0.3">
      <c r="E45">
        <v>6.5448024231398505E-2</v>
      </c>
      <c r="F45">
        <v>0.10110424563407584</v>
      </c>
      <c r="G45">
        <f>'Raw Financial Data'!F46/'Raw Financial Data'!G46</f>
        <v>6.3221856536630885E-2</v>
      </c>
      <c r="H45">
        <f>'Raw Financial Data'!I46/'Raw Financial Data'!M46</f>
        <v>6.110454852276858E-2</v>
      </c>
      <c r="I45">
        <f>'Raw Financial Data'!D46/'Raw Financial Data'!N46</f>
        <v>12.236778421295918</v>
      </c>
      <c r="J45">
        <f>'Raw Financial Data'!I46/'Raw Financial Data'!G46</f>
        <v>3.8209503233166443E-2</v>
      </c>
      <c r="K45">
        <f>'Raw Financial Data'!J46/'Raw Financial Data'!K46</f>
        <v>1.4952056850942623</v>
      </c>
      <c r="L45">
        <f>('Raw Financial Data'!J46-'Raw Financial Data'!L46)/'Raw Financial Data'!K46</f>
        <v>0.86740993150340917</v>
      </c>
      <c r="M45">
        <f>'Raw Financial Data'!C46/'Raw Financial Data'!G46</f>
        <v>0.96598571582700843</v>
      </c>
      <c r="N45">
        <v>4.2834417874721593</v>
      </c>
      <c r="O45">
        <f>'Raw Financial Data'!P46/'Raw Financial Data'!I46</f>
        <v>1.6533007594667799</v>
      </c>
      <c r="P45">
        <f>(('Raw Financial Data'!C46/'Raw Financial Data'!C42)^(1/3)) - 1</f>
        <v>0.20107483883800503</v>
      </c>
    </row>
    <row r="46" spans="5:16" x14ac:dyDescent="0.3">
      <c r="E46">
        <v>3.8469155866202503E-2</v>
      </c>
      <c r="F46">
        <v>6.7713365379060586E-2</v>
      </c>
      <c r="G46">
        <f>'Raw Financial Data'!F47/'Raw Financial Data'!G47</f>
        <v>3.3736954676962319E-2</v>
      </c>
      <c r="H46">
        <f>'Raw Financial Data'!I47/'Raw Financial Data'!M47</f>
        <v>0.41498054746001423</v>
      </c>
      <c r="I46">
        <f>'Raw Financial Data'!D47/'Raw Financial Data'!N47</f>
        <v>9.5626038362785089</v>
      </c>
      <c r="J46">
        <f>'Raw Financial Data'!I47/'Raw Financial Data'!G47</f>
        <v>0.20675652204119913</v>
      </c>
      <c r="K46">
        <f>'Raw Financial Data'!J47/'Raw Financial Data'!K47</f>
        <v>1.3461441745419964</v>
      </c>
      <c r="L46">
        <f>('Raw Financial Data'!J47-'Raw Financial Data'!L47)/'Raw Financial Data'!K47</f>
        <v>0.54967515693509084</v>
      </c>
      <c r="M46">
        <f>'Raw Financial Data'!C47/'Raw Financial Data'!G47</f>
        <v>0.87698713208839307</v>
      </c>
      <c r="N46">
        <v>3.8825317371250456</v>
      </c>
      <c r="O46">
        <f>'Raw Financial Data'!P47/'Raw Financial Data'!I47</f>
        <v>0.25708957283748524</v>
      </c>
    </row>
    <row r="47" spans="5:16" x14ac:dyDescent="0.3">
      <c r="E47">
        <v>3.0307301543911206E-2</v>
      </c>
      <c r="F47">
        <v>5.4339936675309078E-2</v>
      </c>
      <c r="G47">
        <f>'Raw Financial Data'!F48/'Raw Financial Data'!G48</f>
        <v>2.3616098338467457E-2</v>
      </c>
      <c r="H47">
        <f>'Raw Financial Data'!I48/'Raw Financial Data'!M48</f>
        <v>0.42961829047159966</v>
      </c>
      <c r="I47">
        <f>'Raw Financial Data'!D48/'Raw Financial Data'!N48</f>
        <v>5.8313698512339833</v>
      </c>
      <c r="J47">
        <f>'Raw Financial Data'!I48/'Raw Financial Data'!G48</f>
        <v>0.1867118074944622</v>
      </c>
      <c r="K47">
        <f>'Raw Financial Data'!J48/'Raw Financial Data'!K48</f>
        <v>1.0254380120422464</v>
      </c>
      <c r="L47">
        <f>('Raw Financial Data'!J48-'Raw Financial Data'!L48)/'Raw Financial Data'!K48</f>
        <v>0.51273072747014103</v>
      </c>
      <c r="M47">
        <f>'Raw Financial Data'!C48/'Raw Financial Data'!G48</f>
        <v>0.77922141317170401</v>
      </c>
      <c r="N47">
        <v>3.9390478390716628</v>
      </c>
      <c r="O47">
        <f>'Raw Financial Data'!P48/'Raw Financial Data'!I48</f>
        <v>0.42653790010952813</v>
      </c>
    </row>
    <row r="48" spans="5:16" x14ac:dyDescent="0.3">
      <c r="E48">
        <v>4.245892747819506E-2</v>
      </c>
      <c r="F48">
        <v>8.3147827193080073E-2</v>
      </c>
      <c r="G48">
        <f>'Raw Financial Data'!F49/'Raw Financial Data'!G49</f>
        <v>3.8336050109398036E-2</v>
      </c>
      <c r="H48">
        <f>'Raw Financial Data'!I49/'Raw Financial Data'!M49</f>
        <v>0.35013117934203625</v>
      </c>
      <c r="I48">
        <f>'Raw Financial Data'!D49/'Raw Financial Data'!N49</f>
        <v>6.169318223093966</v>
      </c>
      <c r="J48">
        <f>'Raw Financial Data'!I49/'Raw Financial Data'!G49</f>
        <v>0.16143111478968417</v>
      </c>
      <c r="K48">
        <f>'Raw Financial Data'!J49/'Raw Financial Data'!K49</f>
        <v>1.1053773086346026</v>
      </c>
      <c r="L48">
        <f>('Raw Financial Data'!J49-'Raw Financial Data'!L49)/'Raw Financial Data'!K49</f>
        <v>0.55210958260610998</v>
      </c>
      <c r="M48">
        <f>'Raw Financial Data'!C49/'Raw Financial Data'!G49</f>
        <v>0.90289727947286602</v>
      </c>
      <c r="N48">
        <v>4.2762117231778278</v>
      </c>
      <c r="O48">
        <f>'Raw Financial Data'!P49/'Raw Financial Data'!I49</f>
        <v>0.48516355511555348</v>
      </c>
    </row>
    <row r="49" spans="5:16" x14ac:dyDescent="0.3">
      <c r="E49">
        <v>6.7440216358911384E-2</v>
      </c>
      <c r="F49">
        <v>0.12385530625031019</v>
      </c>
      <c r="G49">
        <f>'Raw Financial Data'!F50/'Raw Financial Data'!G50</f>
        <v>6.406944770027051E-2</v>
      </c>
      <c r="H49">
        <f>'Raw Financial Data'!I50/'Raw Financial Data'!M50</f>
        <v>0.24360046870313237</v>
      </c>
      <c r="I49">
        <f>'Raw Financial Data'!D50/'Raw Financial Data'!N50</f>
        <v>8.6239113522949378</v>
      </c>
      <c r="J49">
        <f>'Raw Financial Data'!I50/'Raw Financial Data'!G50</f>
        <v>0.12601274795441098</v>
      </c>
      <c r="K49">
        <f>'Raw Financial Data'!J50/'Raw Financial Data'!K50</f>
        <v>1.2816511495183012</v>
      </c>
      <c r="L49">
        <f>('Raw Financial Data'!J50-'Raw Financial Data'!L50)/'Raw Financial Data'!K50</f>
        <v>0.67889156735975653</v>
      </c>
      <c r="M49">
        <f>'Raw Financial Data'!C50/'Raw Financial Data'!G50</f>
        <v>0.95001841867318582</v>
      </c>
      <c r="N49">
        <v>3.9630397766246772</v>
      </c>
      <c r="O49">
        <f>'Raw Financial Data'!P50/'Raw Financial Data'!I50</f>
        <v>1.0156322898026917</v>
      </c>
    </row>
    <row r="50" spans="5:16" x14ac:dyDescent="0.3">
      <c r="E50">
        <v>4.2762017605444465E-2</v>
      </c>
      <c r="F50">
        <v>7.5941540191118595E-2</v>
      </c>
      <c r="G50">
        <f>'Raw Financial Data'!F51/'Raw Financial Data'!G51</f>
        <v>4.1184939783374404E-2</v>
      </c>
      <c r="H50">
        <f>'Raw Financial Data'!I51/'Raw Financial Data'!M51</f>
        <v>0.17722356542527612</v>
      </c>
      <c r="I50">
        <f>'Raw Financial Data'!D51/'Raw Financial Data'!N51</f>
        <v>7.4725900733340422</v>
      </c>
      <c r="J50">
        <f>'Raw Financial Data'!I51/'Raw Financial Data'!G51</f>
        <v>9.6112639431146632E-2</v>
      </c>
      <c r="K50">
        <f>'Raw Financial Data'!J51/'Raw Financial Data'!K51</f>
        <v>1.3335516215371657</v>
      </c>
      <c r="L50">
        <f>('Raw Financial Data'!J51-'Raw Financial Data'!L51)/'Raw Financial Data'!K51</f>
        <v>0.63641155931144111</v>
      </c>
      <c r="M50">
        <f>'Raw Financial Data'!C51/'Raw Financial Data'!G51</f>
        <v>0.96311965827661816</v>
      </c>
      <c r="N50">
        <v>4.1134533944623435</v>
      </c>
      <c r="O50">
        <f>'Raw Financial Data'!P51/'Raw Financial Data'!I51</f>
        <v>0.69669791312389429</v>
      </c>
      <c r="P50">
        <f>(('Raw Financial Data'!C51/'Raw Financial Data'!C47)^(1/3) - 1)</f>
        <v>0.14058904194708433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Information</vt:lpstr>
      <vt:lpstr>Raw Financial Data</vt:lpstr>
      <vt:lpstr>Ratios</vt:lpstr>
      <vt:lpstr>Credit Scores</vt:lpstr>
      <vt:lpstr>Credit Ratings</vt:lpstr>
      <vt:lpstr>Expected Loss</vt:lpstr>
      <vt:lpstr>Scenario Ananlysis</vt:lpstr>
      <vt:lpstr>Rough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2025-11-28T17:04:10Z</dcterms:created>
  <dcterms:modified xsi:type="dcterms:W3CDTF">2025-12-01T18:55:14Z</dcterms:modified>
</cp:coreProperties>
</file>